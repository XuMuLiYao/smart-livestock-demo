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指标库" sheetId="1" state="visible" r:id="rId1"/>
    <sheet name="②可行性验证报告" sheetId="2" state="visible" r:id="rId2"/>
    <sheet name="③演算-数据录入" sheetId="3" state="visible" r:id="rId3"/>
    <sheet name="④演算-指标计算" sheetId="4" state="visible" r:id="rId4"/>
    <sheet name="⑤可视化数据准备" sheetId="5" state="visible" r:id="rId5"/>
  </sheets>
  <definedNames>
    <definedName name="_xlnm._FilterDatabase" localSheetId="0" hidden="1">'①指标库'!$A$3:$N$31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##"/>
    <numFmt numFmtId="165" formatCode="0.##%"/>
    <numFmt numFmtId="166" formatCode="0.0%"/>
    <numFmt numFmtId="167" formatCode="0.0"/>
    <numFmt numFmtId="168" formatCode="#,##0.0"/>
  </numFmts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9.5"/>
    </font>
    <font>
      <name val="微软雅黑"/>
      <b val="1"/>
      <color rgb="00FFFFFF"/>
      <sz val="10"/>
    </font>
    <font>
      <name val="微软雅黑"/>
      <sz val="9.5"/>
    </font>
    <font>
      <name val="微软雅黑"/>
      <b val="1"/>
      <color rgb="00333333"/>
      <sz val="9.5"/>
    </font>
    <font>
      <name val="微软雅黑"/>
      <b val="1"/>
      <color rgb="001F4E79"/>
      <sz val="11"/>
    </font>
    <font>
      <name val="微软雅黑"/>
      <b val="1"/>
      <sz val="10"/>
    </font>
    <font>
      <name val="微软雅黑"/>
      <b val="1"/>
      <color rgb="001F4E79"/>
      <sz val="10"/>
    </font>
    <font>
      <name val="微软雅黑"/>
      <b val="1"/>
      <color rgb="00375623"/>
      <sz val="10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0" borderId="0" pivotButton="0" quotePrefix="0" xfId="0"/>
    <xf numFmtId="166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name val="微软雅黑"/>
        <b val="1"/>
        <color rgb="00C00000"/>
        <sz val="9.5"/>
      </font>
      <fill>
        <patternFill patternType="solid">
          <fgColor rgb="00FCE4D6"/>
        </patternFill>
      </fill>
    </dxf>
    <dxf>
      <font>
        <name val="微软雅黑"/>
        <color rgb="00375623"/>
        <sz val="9.5"/>
      </font>
      <fill>
        <patternFill patternType="solid">
          <fgColor rgb="00E2EFDA"/>
        </patternFill>
      </fill>
    </dxf>
    <dxf>
      <font>
        <name val="微软雅黑"/>
        <b val="1"/>
        <color rgb="001F4E79"/>
        <sz val="9.5"/>
      </font>
      <fill>
        <patternFill patternType="solid">
          <fgColor rgb="00D9E1F2"/>
        </patternFill>
      </fill>
    </dxf>
    <dxf>
      <font>
        <name val="微软雅黑"/>
        <b val="1"/>
        <color rgb="001F4E79"/>
        <sz val="9.5"/>
      </font>
    </dxf>
    <dxf>
      <font>
        <name val="微软雅黑"/>
        <b val="1"/>
        <color rgb="00375623"/>
        <sz val="9.5"/>
      </font>
      <fill>
        <patternFill patternType="solid">
          <fgColor rgb="00E2EFDA"/>
        </patternFill>
      </fill>
    </dxf>
    <dxf>
      <font>
        <name val="微软雅黑"/>
        <b val="1"/>
        <color rgb="007F6000"/>
        <sz val="9.5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6" customWidth="1" min="4" max="4"/>
    <col width="10" customWidth="1" min="5" max="5"/>
    <col width="10" customWidth="1" min="6" max="6"/>
    <col width="10" customWidth="1" min="7" max="7"/>
    <col width="16" customWidth="1" min="8" max="8"/>
    <col width="30" customWidth="1" min="9" max="9"/>
    <col width="10" customWidth="1" min="10" max="10"/>
    <col width="12" customWidth="1" min="11" max="11"/>
    <col width="18" customWidth="1" min="12" max="12"/>
    <col width="38" customWidth="1" min="13" max="13"/>
    <col width="9" customWidth="1" min="14" max="14"/>
  </cols>
  <sheetData>
    <row r="1">
      <c r="A1" s="1" t="inlineStr">
        <is>
          <t>奶牛养殖核心指标库（指标字典 · 数据来源已逐项核对档案表）</t>
        </is>
      </c>
    </row>
    <row r="2" ht="42" customHeight="1">
      <c r="A2" s="2" t="inlineStr">
        <is>
          <t>说明：① 可得性评级——A=档案表现有字段可直接汇总；B=需跨表关联/DHI测定匹配/阈值判定；C=现有档案无字段，需费用台账补采或对接财务。② 参考值为规模化奶牛场（万头级/标准化千头级）行业通行基准，用于看板阈值线与达标判定。③ 表号对应《畜禽养殖档案管理表格（全套）》。④ N列评级代码为统计与筛选字段，供报告页公式和看板自动汇总。</t>
        </is>
      </c>
    </row>
    <row r="3">
      <c r="A3" s="3" t="inlineStr">
        <is>
          <t>指标大类</t>
        </is>
      </c>
      <c r="B3" s="3" t="inlineStr">
        <is>
          <t>指标名称</t>
        </is>
      </c>
      <c r="C3" s="3" t="inlineStr">
        <is>
          <t>单位</t>
        </is>
      </c>
      <c r="D3" s="3" t="inlineStr">
        <is>
          <t>计算公式</t>
        </is>
      </c>
      <c r="E3" s="3" t="inlineStr">
        <is>
          <t>参考下限</t>
        </is>
      </c>
      <c r="F3" s="3" t="inlineStr">
        <is>
          <t>参考上限</t>
        </is>
      </c>
      <c r="G3" s="3" t="inlineStr">
        <is>
          <t>优秀/目标值</t>
        </is>
      </c>
      <c r="H3" s="3" t="inlineStr">
        <is>
          <t>数据来源表号</t>
        </is>
      </c>
      <c r="I3" s="3" t="inlineStr">
        <is>
          <t>关键字段（已核对档案表）</t>
        </is>
      </c>
      <c r="J3" s="3" t="inlineStr">
        <is>
          <t>指标优先级</t>
        </is>
      </c>
      <c r="K3" s="3" t="inlineStr">
        <is>
          <t>数据可得性</t>
        </is>
      </c>
      <c r="L3" s="3" t="inlineStr">
        <is>
          <t>可视化适配</t>
        </is>
      </c>
      <c r="M3" s="3" t="inlineStr">
        <is>
          <t>验证说明与行业标准</t>
        </is>
      </c>
      <c r="N3" s="3" t="inlineStr">
        <is>
          <t>评级代码</t>
        </is>
      </c>
    </row>
    <row r="4" ht="36" customHeight="1">
      <c r="A4" s="4" t="inlineStr">
        <is>
          <t>产奶性能</t>
        </is>
      </c>
      <c r="B4" s="5" t="inlineStr">
        <is>
          <t>成母牛年均单产(305天)</t>
        </is>
      </c>
      <c r="C4" s="5" t="inlineStr">
        <is>
          <t>kg/头</t>
        </is>
      </c>
      <c r="D4" s="5" t="inlineStr">
        <is>
          <t>统计期产奶总重÷平均成母牛存栏头数</t>
        </is>
      </c>
      <c r="E4" s="6" t="n">
        <v>9500</v>
      </c>
      <c r="F4" s="6" t="n">
        <v>12000</v>
      </c>
      <c r="G4" s="6" t="n">
        <v>11500</v>
      </c>
      <c r="H4" s="5" t="inlineStr">
        <is>
          <t>02-18、01-07</t>
        </is>
      </c>
      <c r="I4" s="5" t="inlineStr">
        <is>
          <t>02-18 J总产奶量；01-07成母牛存栏</t>
        </is>
      </c>
      <c r="J4" s="5" t="inlineStr">
        <is>
          <t>核心</t>
        </is>
      </c>
      <c r="K4" s="5" t="inlineStr">
        <is>
          <t>A 直接可得</t>
        </is>
      </c>
      <c r="L4" s="5" t="inlineStr">
        <is>
          <t>KPI卡片、年度趋势柱状图</t>
        </is>
      </c>
      <c r="M4" s="5" t="inlineStr">
        <is>
          <t>规模化荷斯坦牛单产标杆，万头牧场平均超10.5吨</t>
        </is>
      </c>
      <c r="N4" s="5" t="inlineStr">
        <is>
          <t>A</t>
        </is>
      </c>
    </row>
    <row r="5" ht="36" customHeight="1">
      <c r="A5" s="4" t="inlineStr">
        <is>
          <t>产奶性能</t>
        </is>
      </c>
      <c r="B5" s="5" t="inlineStr">
        <is>
          <t>泌乳牛日均单产</t>
        </is>
      </c>
      <c r="C5" s="5" t="inlineStr">
        <is>
          <t>kg/头/天</t>
        </is>
      </c>
      <c r="D5" s="5" t="inlineStr">
        <is>
          <t>当月总产奶量÷当月泌乳牛日均头数÷当月天数</t>
        </is>
      </c>
      <c r="E5" s="6" t="n">
        <v>30</v>
      </c>
      <c r="F5" s="6" t="n">
        <v>38</v>
      </c>
      <c r="G5" s="6" t="n">
        <v>35</v>
      </c>
      <c r="H5" s="5" t="inlineStr">
        <is>
          <t>02-18、01-07</t>
        </is>
      </c>
      <c r="I5" s="5" t="inlineStr">
        <is>
          <t>02-18 J日产奶量；01-07泌乳牛头数</t>
        </is>
      </c>
      <c r="J5" s="5" t="inlineStr">
        <is>
          <t>核心</t>
        </is>
      </c>
      <c r="K5" s="5" t="inlineStr">
        <is>
          <t>B 加工可得</t>
        </is>
      </c>
      <c r="L5" s="5" t="inlineStr">
        <is>
          <t>月度折线图、分舍对比</t>
        </is>
      </c>
      <c r="M5" s="5" t="inlineStr">
        <is>
          <t>反映牧场日常精细化饲养管理水平，随泌乳天数变动</t>
        </is>
      </c>
      <c r="N5" s="5" t="inlineStr">
        <is>
          <t>B</t>
        </is>
      </c>
    </row>
    <row r="6" ht="36" customHeight="1">
      <c r="A6" s="4" t="inlineStr">
        <is>
          <t>产奶性能</t>
        </is>
      </c>
      <c r="B6" s="5" t="inlineStr">
        <is>
          <t>高峰日产奶量</t>
        </is>
      </c>
      <c r="C6" s="5" t="inlineStr">
        <is>
          <t>kg/头/天</t>
        </is>
      </c>
      <c r="D6" s="5" t="inlineStr">
        <is>
          <t>牛群分娩后40-60天日最高单产平均值</t>
        </is>
      </c>
      <c r="E6" s="6" t="n">
        <v>38</v>
      </c>
      <c r="F6" s="6" t="n">
        <v>48</v>
      </c>
      <c r="G6" s="6" t="n">
        <v>45</v>
      </c>
      <c r="H6" s="5" t="inlineStr">
        <is>
          <t>02-18 DHI测定</t>
        </is>
      </c>
      <c r="I6" s="5" t="inlineStr">
        <is>
          <t>02-18 DHI产奶峰值记录</t>
        </is>
      </c>
      <c r="J6" s="5" t="inlineStr">
        <is>
          <t>常规</t>
        </is>
      </c>
      <c r="K6" s="5" t="inlineStr">
        <is>
          <t>B 加工可得</t>
        </is>
      </c>
      <c r="L6" s="5" t="inlineStr">
        <is>
          <t>泌乳曲线、胎次分布图</t>
        </is>
      </c>
      <c r="M6" s="5" t="inlineStr">
        <is>
          <t>产奶潜能核心观测值，直接决定全期产奶总量</t>
        </is>
      </c>
      <c r="N6" s="5" t="inlineStr">
        <is>
          <t>B</t>
        </is>
      </c>
    </row>
    <row r="7" ht="36" customHeight="1">
      <c r="A7" s="4" t="inlineStr">
        <is>
          <t>产奶性能</t>
        </is>
      </c>
      <c r="B7" s="5" t="inlineStr">
        <is>
          <t>生鲜牛乳脂率</t>
        </is>
      </c>
      <c r="C7" s="5" t="inlineStr">
        <is>
          <t>%</t>
        </is>
      </c>
      <c r="D7" s="5" t="inlineStr">
        <is>
          <t>生鲜乳脂肪含量总重量÷鲜乳总重量</t>
        </is>
      </c>
      <c r="E7" s="7" t="n">
        <v>0.037</v>
      </c>
      <c r="F7" s="7" t="n">
        <v>0.042</v>
      </c>
      <c r="G7" s="7" t="n">
        <v>0.0395</v>
      </c>
      <c r="H7" s="5" t="inlineStr">
        <is>
          <t>02-18、06-02</t>
        </is>
      </c>
      <c r="I7" s="5" t="inlineStr">
        <is>
          <t>02-18 K乳脂率；06-02化验单</t>
        </is>
      </c>
      <c r="J7" s="5" t="inlineStr">
        <is>
          <t>核心</t>
        </is>
      </c>
      <c r="K7" s="5" t="inlineStr">
        <is>
          <t>A 直接可得</t>
        </is>
      </c>
      <c r="L7" s="5" t="inlineStr">
        <is>
          <t>月度折线图、品质双轴图</t>
        </is>
      </c>
      <c r="M7" s="5" t="inlineStr">
        <is>
          <t>中国优质牧场标准≥3.90%，欧盟标准3.80%</t>
        </is>
      </c>
      <c r="N7" s="5" t="inlineStr">
        <is>
          <t>A</t>
        </is>
      </c>
    </row>
    <row r="8" ht="36" customHeight="1">
      <c r="A8" s="4" t="inlineStr">
        <is>
          <t>产奶性能</t>
        </is>
      </c>
      <c r="B8" s="5" t="inlineStr">
        <is>
          <t>生鲜牛乳蛋白率</t>
        </is>
      </c>
      <c r="C8" s="5" t="inlineStr">
        <is>
          <t>%</t>
        </is>
      </c>
      <c r="D8" s="5" t="inlineStr">
        <is>
          <t>生鲜乳蛋白质含量总重量÷鲜乳总重量</t>
        </is>
      </c>
      <c r="E8" s="7" t="n">
        <v>0.031</v>
      </c>
      <c r="F8" s="7" t="n">
        <v>0.035</v>
      </c>
      <c r="G8" s="7" t="n">
        <v>0.0335</v>
      </c>
      <c r="H8" s="5" t="inlineStr">
        <is>
          <t>02-18、06-02</t>
        </is>
      </c>
      <c r="I8" s="5" t="inlineStr">
        <is>
          <t>02-18 L乳蛋白率；06-02化验单</t>
        </is>
      </c>
      <c r="J8" s="5" t="inlineStr">
        <is>
          <t>核心</t>
        </is>
      </c>
      <c r="K8" s="5" t="inlineStr">
        <is>
          <t>A 直接可得</t>
        </is>
      </c>
      <c r="L8" s="5" t="inlineStr">
        <is>
          <t>月度折线图、品质双轴图</t>
        </is>
      </c>
      <c r="M8" s="5" t="inlineStr">
        <is>
          <t>中国规模化牧场平均≥3.34%，直接关联收购定价</t>
        </is>
      </c>
      <c r="N8" s="5" t="inlineStr">
        <is>
          <t>A</t>
        </is>
      </c>
    </row>
    <row r="9" ht="36" customHeight="1">
      <c r="A9" s="4" t="inlineStr">
        <is>
          <t>产奶性能</t>
        </is>
      </c>
      <c r="B9" s="5" t="inlineStr">
        <is>
          <t>体细胞数 SCC</t>
        </is>
      </c>
      <c r="C9" s="5" t="inlineStr">
        <is>
          <t>万/mL</t>
        </is>
      </c>
      <c r="D9" s="5" t="inlineStr">
        <is>
          <t>生鲜乳体细胞实验室仪器测定均值</t>
        </is>
      </c>
      <c r="E9" s="5" t="n"/>
      <c r="F9" s="6" t="n">
        <v>20</v>
      </c>
      <c r="G9" s="6" t="n">
        <v>15</v>
      </c>
      <c r="H9" s="5" t="inlineStr">
        <is>
          <t>02-18、04-03</t>
        </is>
      </c>
      <c r="I9" s="5" t="inlineStr">
        <is>
          <t>02-18 M体细胞数；04-03检测</t>
        </is>
      </c>
      <c r="J9" s="5" t="inlineStr">
        <is>
          <t>核心</t>
        </is>
      </c>
      <c r="K9" s="5" t="inlineStr">
        <is>
          <t>A 直接可得</t>
        </is>
      </c>
      <c r="L9" s="5" t="inlineStr">
        <is>
          <t>月度折线图、阈值预警线</t>
        </is>
      </c>
      <c r="M9" s="5" t="inlineStr">
        <is>
          <t>隐性乳房炎核心预警红线，&gt;20万触发分群与检疗</t>
        </is>
      </c>
      <c r="N9" s="5" t="inlineStr">
        <is>
          <t>A</t>
        </is>
      </c>
    </row>
    <row r="10" ht="36" customHeight="1">
      <c r="A10" s="4" t="inlineStr">
        <is>
          <t>产奶性能</t>
        </is>
      </c>
      <c r="B10" s="5" t="inlineStr">
        <is>
          <t>菌落总数</t>
        </is>
      </c>
      <c r="C10" s="5" t="inlineStr">
        <is>
          <t>万CFU/mL</t>
        </is>
      </c>
      <c r="D10" s="5" t="inlineStr">
        <is>
          <t>原奶微生物细菌菌落总数测定值</t>
        </is>
      </c>
      <c r="E10" s="5" t="n"/>
      <c r="F10" s="6" t="n">
        <v>10</v>
      </c>
      <c r="G10" s="6" t="n">
        <v>5</v>
      </c>
      <c r="H10" s="5" t="inlineStr">
        <is>
          <t>02-18、06-02</t>
        </is>
      </c>
      <c r="I10" s="5" t="inlineStr">
        <is>
          <t>02-18 N菌落总数；06-02验收单</t>
        </is>
      </c>
      <c r="J10" s="5" t="inlineStr">
        <is>
          <t>常规</t>
        </is>
      </c>
      <c r="K10" s="5" t="inlineStr">
        <is>
          <t>A 直接可得</t>
        </is>
      </c>
      <c r="L10" s="5" t="inlineStr">
        <is>
          <t>合规达标卡片</t>
        </is>
      </c>
      <c r="M10" s="5" t="inlineStr">
        <is>
          <t>生鲜乳卫生安全指标，特品原奶要求≤5万CFU/mL</t>
        </is>
      </c>
      <c r="N10" s="5" t="inlineStr">
        <is>
          <t>A</t>
        </is>
      </c>
    </row>
    <row r="11" ht="36" customHeight="1">
      <c r="A11" s="4" t="inlineStr">
        <is>
          <t>产奶性能</t>
        </is>
      </c>
      <c r="B11" s="5" t="inlineStr">
        <is>
          <t>泌乳牛比例</t>
        </is>
      </c>
      <c r="C11" s="5" t="inlineStr">
        <is>
          <t>%</t>
        </is>
      </c>
      <c r="D11" s="5" t="inlineStr">
        <is>
          <t>当期在挤泌乳牛头数÷成母牛存栏总头数</t>
        </is>
      </c>
      <c r="E11" s="7" t="n">
        <v>0.82</v>
      </c>
      <c r="F11" s="7" t="n">
        <v>0.88</v>
      </c>
      <c r="G11" s="7" t="n">
        <v>0.85</v>
      </c>
      <c r="H11" s="5" t="inlineStr">
        <is>
          <t>01-07</t>
        </is>
      </c>
      <c r="I11" s="5" t="inlineStr">
        <is>
          <t>01-07存栏月报泌乳牛/成母牛</t>
        </is>
      </c>
      <c r="J11" s="5" t="inlineStr">
        <is>
          <t>常规</t>
        </is>
      </c>
      <c r="K11" s="5" t="inlineStr">
        <is>
          <t>B 加工可得</t>
        </is>
      </c>
      <c r="L11" s="5" t="inlineStr">
        <is>
          <t>仪表盘、结构饼图</t>
        </is>
      </c>
      <c r="M11" s="5" t="inlineStr">
        <is>
          <t>过低说明干奶牛或不孕牛占比过高，严重侵蚀效益</t>
        </is>
      </c>
      <c r="N11" s="5" t="inlineStr">
        <is>
          <t>B</t>
        </is>
      </c>
    </row>
    <row r="12" ht="36" customHeight="1">
      <c r="A12" s="4" t="inlineStr">
        <is>
          <t>繁殖育种</t>
        </is>
      </c>
      <c r="B12" s="5" t="inlineStr">
        <is>
          <t>产犊间隔</t>
        </is>
      </c>
      <c r="C12" s="5" t="inlineStr">
        <is>
          <t>天</t>
        </is>
      </c>
      <c r="D12" s="5" t="inlineStr">
        <is>
          <t>全年经产母牛相邻两胎产犊间隔总天数÷头数</t>
        </is>
      </c>
      <c r="E12" s="6" t="n">
        <v>390</v>
      </c>
      <c r="F12" s="6" t="n">
        <v>420</v>
      </c>
      <c r="G12" s="6" t="n">
        <v>400</v>
      </c>
      <c r="H12" s="5" t="inlineStr">
        <is>
          <t>02-09、02-06</t>
        </is>
      </c>
      <c r="I12" s="5" t="inlineStr">
        <is>
          <t>02-09 B分娩日期；02-06繁殖记录卡</t>
        </is>
      </c>
      <c r="J12" s="5" t="inlineStr">
        <is>
          <t>核心</t>
        </is>
      </c>
      <c r="K12" s="5" t="inlineStr">
        <is>
          <t>B 加工可得</t>
        </is>
      </c>
      <c r="L12" s="5" t="inlineStr">
        <is>
          <t>分布直方图、年度趋势</t>
        </is>
      </c>
      <c r="M12" s="5" t="inlineStr">
        <is>
          <t>繁殖效率核心指标，超420天显著增加无效饲养天数</t>
        </is>
      </c>
      <c r="N12" s="5" t="inlineStr">
        <is>
          <t>B</t>
        </is>
      </c>
    </row>
    <row r="13" ht="36" customHeight="1">
      <c r="A13" s="4" t="inlineStr">
        <is>
          <t>繁殖育种</t>
        </is>
      </c>
      <c r="B13" s="5" t="inlineStr">
        <is>
          <t>21天怀孕率 (PR)</t>
        </is>
      </c>
      <c r="C13" s="5" t="inlineStr">
        <is>
          <t>%</t>
        </is>
      </c>
      <c r="D13" s="5" t="inlineStr">
        <is>
          <t>21天妊娠牛数÷21天内适合配种牛数</t>
        </is>
      </c>
      <c r="E13" s="7" t="n">
        <v>0.18</v>
      </c>
      <c r="F13" s="7" t="n">
        <v>0.25</v>
      </c>
      <c r="G13" s="7" t="n">
        <v>0.22</v>
      </c>
      <c r="H13" s="5" t="inlineStr">
        <is>
          <t>02-07、02-09</t>
        </is>
      </c>
      <c r="I13" s="5" t="inlineStr">
        <is>
          <t>02-07配种/妊检；02-09分娩</t>
        </is>
      </c>
      <c r="J13" s="5" t="inlineStr">
        <is>
          <t>核心</t>
        </is>
      </c>
      <c r="K13" s="5" t="inlineStr">
        <is>
          <t>B 加工可得</t>
        </is>
      </c>
      <c r="L13" s="5" t="inlineStr">
        <is>
          <t>月度趋势图、配种雷达图</t>
        </is>
      </c>
      <c r="M13" s="5" t="inlineStr">
        <is>
          <t>繁殖管理黄金指标，PR = 发情揭发率 × 情期受胎率</t>
        </is>
      </c>
      <c r="N13" s="5" t="inlineStr">
        <is>
          <t>B</t>
        </is>
      </c>
    </row>
    <row r="14" ht="36" customHeight="1">
      <c r="A14" s="4" t="inlineStr">
        <is>
          <t>繁殖育种</t>
        </is>
      </c>
      <c r="B14" s="5" t="inlineStr">
        <is>
          <t>配种发情揭发率 (HD)</t>
        </is>
      </c>
      <c r="C14" s="5" t="inlineStr">
        <is>
          <t>%</t>
        </is>
      </c>
      <c r="D14" s="5" t="inlineStr">
        <is>
          <t>21天内实际发情配种牛数÷应配种牛数</t>
        </is>
      </c>
      <c r="E14" s="7" t="n">
        <v>0.55</v>
      </c>
      <c r="F14" s="7" t="n">
        <v>0.7</v>
      </c>
      <c r="G14" s="7" t="n">
        <v>0.65</v>
      </c>
      <c r="H14" s="5" t="inlineStr">
        <is>
          <t>02-07</t>
        </is>
      </c>
      <c r="I14" s="5" t="inlineStr">
        <is>
          <t>02-07 G配种日期、发情记录</t>
        </is>
      </c>
      <c r="J14" s="5" t="inlineStr">
        <is>
          <t>常规</t>
        </is>
      </c>
      <c r="K14" s="5" t="inlineStr">
        <is>
          <t>B 加工可得</t>
        </is>
      </c>
      <c r="L14" s="5" t="inlineStr">
        <is>
          <t>柱状图、班组对比</t>
        </is>
      </c>
      <c r="M14" s="5" t="inlineStr">
        <is>
          <t>配合项圈与计步器智能监控发情表现</t>
        </is>
      </c>
      <c r="N14" s="5" t="inlineStr">
        <is>
          <t>B</t>
        </is>
      </c>
    </row>
    <row r="15" ht="36" customHeight="1">
      <c r="A15" s="4" t="inlineStr">
        <is>
          <t>繁殖育种</t>
        </is>
      </c>
      <c r="B15" s="5" t="inlineStr">
        <is>
          <t>情期受胎率 (CR)</t>
        </is>
      </c>
      <c r="C15" s="5" t="inlineStr">
        <is>
          <t>%</t>
        </is>
      </c>
      <c r="D15" s="5" t="inlineStr">
        <is>
          <t>妊娠诊断阳性牛数÷总配种情期数</t>
        </is>
      </c>
      <c r="E15" s="7" t="n">
        <v>0.35</v>
      </c>
      <c r="F15" s="7" t="n">
        <v>0.45</v>
      </c>
      <c r="G15" s="7" t="n">
        <v>0.4</v>
      </c>
      <c r="H15" s="5" t="inlineStr">
        <is>
          <t>02-07</t>
        </is>
      </c>
      <c r="I15" s="5" t="inlineStr">
        <is>
          <t>02-07 L妊检结果(阳性)/配种记录</t>
        </is>
      </c>
      <c r="J15" s="5" t="inlineStr">
        <is>
          <t>常规</t>
        </is>
      </c>
      <c r="K15" s="5" t="inlineStr">
        <is>
          <t>B 加工可得</t>
        </is>
      </c>
      <c r="L15" s="5" t="inlineStr">
        <is>
          <t>月度折线图、公牛对比</t>
        </is>
      </c>
      <c r="M15" s="5" t="inlineStr">
        <is>
          <t>衡量精液品质、人工授精操作与母牛受孕机能</t>
        </is>
      </c>
      <c r="N15" s="5" t="inlineStr">
        <is>
          <t>B</t>
        </is>
      </c>
    </row>
    <row r="16" ht="36" customHeight="1">
      <c r="A16" s="4" t="inlineStr">
        <is>
          <t>繁殖育种</t>
        </is>
      </c>
      <c r="B16" s="5" t="inlineStr">
        <is>
          <t>空怀天数 (DO)</t>
        </is>
      </c>
      <c r="C16" s="5" t="inlineStr">
        <is>
          <t>天</t>
        </is>
      </c>
      <c r="D16" s="5" t="inlineStr">
        <is>
          <t>母牛产犊至再次受孕成功的间隔天数</t>
        </is>
      </c>
      <c r="E16" s="6" t="n">
        <v>105</v>
      </c>
      <c r="F16" s="6" t="n">
        <v>140</v>
      </c>
      <c r="G16" s="6" t="n">
        <v>120</v>
      </c>
      <c r="H16" s="5" t="inlineStr">
        <is>
          <t>02-07、02-09</t>
        </is>
      </c>
      <c r="I16" s="5" t="inlineStr">
        <is>
          <t>02-07受孕日期 - 02-09分娩日期</t>
        </is>
      </c>
      <c r="J16" s="5" t="inlineStr">
        <is>
          <t>常规</t>
        </is>
      </c>
      <c r="K16" s="5" t="inlineStr">
        <is>
          <t>B 加工可得</t>
        </is>
      </c>
      <c r="L16" s="5" t="inlineStr">
        <is>
          <t>胎次箱线图</t>
        </is>
      </c>
      <c r="M16" s="5" t="inlineStr">
        <is>
          <t>每增加1天空怀天数，头均增加饲养成本约30-40元</t>
        </is>
      </c>
      <c r="N16" s="5" t="inlineStr">
        <is>
          <t>B</t>
        </is>
      </c>
    </row>
    <row r="17" ht="36" customHeight="1">
      <c r="A17" s="4" t="inlineStr">
        <is>
          <t>繁殖育种</t>
        </is>
      </c>
      <c r="B17" s="5" t="inlineStr">
        <is>
          <t>犊牛初生重</t>
        </is>
      </c>
      <c r="C17" s="5" t="inlineStr">
        <is>
          <t>kg/头</t>
        </is>
      </c>
      <c r="D17" s="5" t="inlineStr">
        <is>
          <t>犊牛出生后称重均值</t>
        </is>
      </c>
      <c r="E17" s="6" t="n">
        <v>36</v>
      </c>
      <c r="F17" s="6" t="n">
        <v>44</v>
      </c>
      <c r="G17" s="6" t="n">
        <v>40</v>
      </c>
      <c r="H17" s="5" t="inlineStr">
        <is>
          <t>02-09</t>
        </is>
      </c>
      <c r="I17" s="5" t="inlineStr">
        <is>
          <t>02-09 M初生重字段已内置</t>
        </is>
      </c>
      <c r="J17" s="5" t="inlineStr">
        <is>
          <t>常规</t>
        </is>
      </c>
      <c r="K17" s="5" t="inlineStr">
        <is>
          <t>A 直接可得</t>
        </is>
      </c>
      <c r="L17" s="5" t="inlineStr">
        <is>
          <t>分布直方图</t>
        </is>
      </c>
      <c r="M17" s="5" t="inlineStr">
        <is>
          <t>母系营养与后备牛培育起步指标，公母分别建档</t>
        </is>
      </c>
      <c r="N17" s="5" t="inlineStr">
        <is>
          <t>A</t>
        </is>
      </c>
    </row>
    <row r="18" ht="36" customHeight="1">
      <c r="A18" s="4" t="inlineStr">
        <is>
          <t>健康死淘</t>
        </is>
      </c>
      <c r="B18" s="5" t="inlineStr">
        <is>
          <t>犊牛成活率(0-60日龄)</t>
        </is>
      </c>
      <c r="C18" s="5" t="inlineStr">
        <is>
          <t>%</t>
        </is>
      </c>
      <c r="D18" s="5" t="inlineStr">
        <is>
          <t>断奶存活犊牛数÷出生活仔犊牛数</t>
        </is>
      </c>
      <c r="E18" s="7" t="n">
        <v>0.95</v>
      </c>
      <c r="F18" s="7" t="n">
        <v>0.98</v>
      </c>
      <c r="G18" s="7" t="n">
        <v>0.96</v>
      </c>
      <c r="H18" s="5" t="inlineStr">
        <is>
          <t>02-10、02-09</t>
        </is>
      </c>
      <c r="I18" s="5" t="inlineStr">
        <is>
          <t>02-10成活率/断奶数；02-09活仔数</t>
        </is>
      </c>
      <c r="J18" s="5" t="inlineStr">
        <is>
          <t>核心</t>
        </is>
      </c>
      <c r="K18" s="5" t="inlineStr">
        <is>
          <t>A 直接可得</t>
        </is>
      </c>
      <c r="L18" s="5" t="inlineStr">
        <is>
          <t>月度折线、原因分析饼图</t>
        </is>
      </c>
      <c r="M18" s="5" t="inlineStr">
        <is>
          <t>未来高产牛群底座，初乳灌服与岛式犊牛舍管护</t>
        </is>
      </c>
      <c r="N18" s="5" t="inlineStr">
        <is>
          <t>A</t>
        </is>
      </c>
    </row>
    <row r="19" ht="36" customHeight="1">
      <c r="A19" s="4" t="inlineStr">
        <is>
          <t>健康死淘</t>
        </is>
      </c>
      <c r="B19" s="5" t="inlineStr">
        <is>
          <t>育成牛成活率</t>
        </is>
      </c>
      <c r="C19" s="5" t="inlineStr">
        <is>
          <t>%</t>
        </is>
      </c>
      <c r="D19" s="5" t="inlineStr">
        <is>
          <t>配种受孕育成牛数÷进入育成期青年牛数</t>
        </is>
      </c>
      <c r="E19" s="7" t="n">
        <v>0.96</v>
      </c>
      <c r="F19" s="7" t="n">
        <v>0.99</v>
      </c>
      <c r="G19" s="7" t="n">
        <v>0.98</v>
      </c>
      <c r="H19" s="5" t="inlineStr">
        <is>
          <t>01-07、02-07</t>
        </is>
      </c>
      <c r="I19" s="5" t="inlineStr">
        <is>
          <t>01-07育成存栏变动；02-07初配</t>
        </is>
      </c>
      <c r="J19" s="5" t="inlineStr">
        <is>
          <t>常规</t>
        </is>
      </c>
      <c r="K19" s="5" t="inlineStr">
        <is>
          <t>B 加工可得</t>
        </is>
      </c>
      <c r="L19" s="5" t="inlineStr">
        <is>
          <t>阶段漏斗图</t>
        </is>
      </c>
      <c r="M19" s="5" t="inlineStr">
        <is>
          <t>成活率高保证牧场自主更新良性扩群</t>
        </is>
      </c>
      <c r="N19" s="5" t="inlineStr">
        <is>
          <t>B</t>
        </is>
      </c>
    </row>
    <row r="20" ht="36" customHeight="1">
      <c r="A20" s="4" t="inlineStr">
        <is>
          <t>健康死淘</t>
        </is>
      </c>
      <c r="B20" s="5" t="inlineStr">
        <is>
          <t>成母牛年淘汰率</t>
        </is>
      </c>
      <c r="C20" s="5" t="inlineStr">
        <is>
          <t>%</t>
        </is>
      </c>
      <c r="D20" s="5" t="inlineStr">
        <is>
          <t>全年淘汰成母牛数÷平均成母牛存栏头数</t>
        </is>
      </c>
      <c r="E20" s="7" t="n">
        <v>0.25</v>
      </c>
      <c r="F20" s="7" t="n">
        <v>0.32</v>
      </c>
      <c r="G20" s="7" t="n">
        <v>0.28</v>
      </c>
      <c r="H20" s="5" t="inlineStr">
        <is>
          <t>01-07、02-16</t>
        </is>
      </c>
      <c r="I20" s="5" t="inlineStr">
        <is>
          <t>01-07 K淘汰数；02-16淘汰原因</t>
        </is>
      </c>
      <c r="J20" s="5" t="inlineStr">
        <is>
          <t>常规</t>
        </is>
      </c>
      <c r="K20" s="5" t="inlineStr">
        <is>
          <t>B 加工可得</t>
        </is>
      </c>
      <c r="L20" s="5" t="inlineStr">
        <is>
          <t>饼图、淘汰病因树状图</t>
        </is>
      </c>
      <c r="M20" s="5" t="inlineStr">
        <is>
          <t>正常自繁更替28%左右，过高代表肢蹄或乳腺疾病多发</t>
        </is>
      </c>
      <c r="N20" s="5" t="inlineStr">
        <is>
          <t>B</t>
        </is>
      </c>
    </row>
    <row r="21" ht="36" customHeight="1">
      <c r="A21" s="4" t="inlineStr">
        <is>
          <t>健康死淘</t>
        </is>
      </c>
      <c r="B21" s="5" t="inlineStr">
        <is>
          <t>成母牛月死亡率</t>
        </is>
      </c>
      <c r="C21" s="5" t="inlineStr">
        <is>
          <t>%</t>
        </is>
      </c>
      <c r="D21" s="5" t="inlineStr">
        <is>
          <t>当月病死成母牛数÷月均成母牛存栏</t>
        </is>
      </c>
      <c r="E21" s="5" t="n"/>
      <c r="F21" s="7" t="n">
        <v>0.008</v>
      </c>
      <c r="G21" s="7" t="n">
        <v>0.005</v>
      </c>
      <c r="H21" s="5" t="inlineStr">
        <is>
          <t>01-07、05-01</t>
        </is>
      </c>
      <c r="I21" s="5" t="inlineStr">
        <is>
          <t>01-07 J死亡；05-01病死无害化</t>
        </is>
      </c>
      <c r="J21" s="5" t="inlineStr">
        <is>
          <t>核心</t>
        </is>
      </c>
      <c r="K21" s="5" t="inlineStr">
        <is>
          <t>A 直接可得</t>
        </is>
      </c>
      <c r="L21" s="5" t="inlineStr">
        <is>
          <t>月度折线、红线预警图</t>
        </is>
      </c>
      <c r="M21" s="5" t="inlineStr">
        <is>
          <t>阈值0.8%，主要防范产后瘫痪、真胃移位与严重创伤</t>
        </is>
      </c>
      <c r="N21" s="5" t="inlineStr">
        <is>
          <t>A</t>
        </is>
      </c>
    </row>
    <row r="22" ht="36" customHeight="1">
      <c r="A22" s="4" t="inlineStr">
        <is>
          <t>健康死淘</t>
        </is>
      </c>
      <c r="B22" s="5" t="inlineStr">
        <is>
          <t>临床乳房炎月发病率</t>
        </is>
      </c>
      <c r="C22" s="5" t="inlineStr">
        <is>
          <t>%</t>
        </is>
      </c>
      <c r="D22" s="5" t="inlineStr">
        <is>
          <t>当月发生临床乳房炎牛次÷泌乳牛平均头数</t>
        </is>
      </c>
      <c r="E22" s="5" t="n"/>
      <c r="F22" s="7" t="n">
        <v>0.03</v>
      </c>
      <c r="G22" s="7" t="n">
        <v>0.02</v>
      </c>
      <c r="H22" s="5" t="inlineStr">
        <is>
          <t>04-09、02-18</t>
        </is>
      </c>
      <c r="I22" s="5" t="inlineStr">
        <is>
          <t>04-09诊疗记录；02-18在挤牛数</t>
        </is>
      </c>
      <c r="J22" s="5" t="inlineStr">
        <is>
          <t>核心</t>
        </is>
      </c>
      <c r="K22" s="5" t="inlineStr">
        <is>
          <t>B 加工可得</t>
        </is>
      </c>
      <c r="L22" s="5" t="inlineStr">
        <is>
          <t>月度走势、病原菌分布</t>
        </is>
      </c>
      <c r="M22" s="5" t="inlineStr">
        <is>
          <t>乳腺炎直接导致弃奶损失与医药费用增加</t>
        </is>
      </c>
      <c r="N22" s="5" t="inlineStr">
        <is>
          <t>B</t>
        </is>
      </c>
    </row>
    <row r="23" ht="36" customHeight="1">
      <c r="A23" s="4" t="inlineStr">
        <is>
          <t>饲养管理</t>
        </is>
      </c>
      <c r="B23" s="5" t="inlineStr">
        <is>
          <t>料奶比 (FMR)</t>
        </is>
      </c>
      <c r="C23" s="5" t="inlineStr">
        <is>
          <t xml:space="preserve"> :1</t>
        </is>
      </c>
      <c r="D23" s="5" t="inlineStr">
        <is>
          <t>统计期总饲料干物质消耗量(kg)÷产奶量(kg)</t>
        </is>
      </c>
      <c r="E23" s="6" t="n">
        <v>1.35</v>
      </c>
      <c r="F23" s="6" t="n">
        <v>1.65</v>
      </c>
      <c r="G23" s="6" t="n">
        <v>1.45</v>
      </c>
      <c r="H23" s="5" t="inlineStr">
        <is>
          <t>02-01/03-07、02-18</t>
        </is>
      </c>
      <c r="I23" s="5" t="inlineStr">
        <is>
          <t>02-01 TMR投喂；02-18产奶总量</t>
        </is>
      </c>
      <c r="J23" s="5" t="inlineStr">
        <is>
          <t>核心</t>
        </is>
      </c>
      <c r="K23" s="5" t="inlineStr">
        <is>
          <t>B 加工可得</t>
        </is>
      </c>
      <c r="L23" s="5" t="inlineStr">
        <is>
          <t>月度折线图、效益散点图</t>
        </is>
      </c>
      <c r="M23" s="5" t="inlineStr">
        <is>
          <t>衡量TMR日粮配合技术与饲料转化效率</t>
        </is>
      </c>
      <c r="N23" s="5" t="inlineStr">
        <is>
          <t>B</t>
        </is>
      </c>
    </row>
    <row r="24" ht="36" customHeight="1">
      <c r="A24" s="4" t="inlineStr">
        <is>
          <t>饲养管理</t>
        </is>
      </c>
      <c r="B24" s="5" t="inlineStr">
        <is>
          <t>泌乳牛干物质采食量</t>
        </is>
      </c>
      <c r="C24" s="5" t="inlineStr">
        <is>
          <t>kg/天</t>
        </is>
      </c>
      <c r="D24" s="5" t="inlineStr">
        <is>
          <t>每头泌乳牛日均摄入日粮干物质千克数</t>
        </is>
      </c>
      <c r="E24" s="6" t="n">
        <v>22</v>
      </c>
      <c r="F24" s="6" t="n">
        <v>26</v>
      </c>
      <c r="G24" s="6" t="n">
        <v>24</v>
      </c>
      <c r="H24" s="5" t="inlineStr">
        <is>
          <t>02-01 TMR记录</t>
        </is>
      </c>
      <c r="I24" s="5" t="inlineStr">
        <is>
          <t>02-01实际采食量×干物质率</t>
        </is>
      </c>
      <c r="J24" s="5" t="inlineStr">
        <is>
          <t>常规</t>
        </is>
      </c>
      <c r="K24" s="5" t="inlineStr">
        <is>
          <t>B 加工可得</t>
        </is>
      </c>
      <c r="L24" s="5" t="inlineStr">
        <is>
          <t>季节采食曲线、热应激分析</t>
        </is>
      </c>
      <c r="M24" s="5" t="inlineStr">
        <is>
          <t>夏季热应激易导致采食量骤降与酸中毒</t>
        </is>
      </c>
      <c r="N24" s="5" t="inlineStr">
        <is>
          <t>B</t>
        </is>
      </c>
    </row>
    <row r="25" ht="36" customHeight="1">
      <c r="A25" s="4" t="inlineStr">
        <is>
          <t>饲养管理</t>
        </is>
      </c>
      <c r="B25" s="5" t="inlineStr">
        <is>
          <t>生鲜乳休药期合规率</t>
        </is>
      </c>
      <c r="C25" s="5" t="inlineStr">
        <is>
          <t>%</t>
        </is>
      </c>
      <c r="D25" s="5" t="inlineStr">
        <is>
          <t>无抗原奶批次÷交付原奶总批次</t>
        </is>
      </c>
      <c r="E25" s="5" t="n"/>
      <c r="F25" s="5" t="n"/>
      <c r="G25" s="7" t="n">
        <v>1</v>
      </c>
      <c r="H25" s="5" t="inlineStr">
        <is>
          <t>03-08、06-02</t>
        </is>
      </c>
      <c r="I25" s="5" t="inlineStr">
        <is>
          <t>03-08休药期截止；06-02交售记录</t>
        </is>
      </c>
      <c r="J25" s="5" t="inlineStr">
        <is>
          <t>核心</t>
        </is>
      </c>
      <c r="K25" s="5" t="inlineStr">
        <is>
          <t>B 加工可得</t>
        </is>
      </c>
      <c r="L25" s="5" t="inlineStr">
        <is>
          <t>合规仪表盘、红线拦截</t>
        </is>
      </c>
      <c r="M25" s="5" t="inlineStr">
        <is>
          <t>用药牛进入病牛舍弃奶，休药期满方可回归正常挤奶</t>
        </is>
      </c>
      <c r="N25" s="5" t="inlineStr">
        <is>
          <t>B</t>
        </is>
      </c>
    </row>
    <row r="26" ht="36" customHeight="1">
      <c r="A26" s="4" t="inlineStr">
        <is>
          <t>饲养管理</t>
        </is>
      </c>
      <c r="B26" s="5" t="inlineStr">
        <is>
          <t>病死牛无害化处理率</t>
        </is>
      </c>
      <c r="C26" s="5" t="inlineStr">
        <is>
          <t>%</t>
        </is>
      </c>
      <c r="D26" s="5" t="inlineStr">
        <is>
          <t>规范无害化处理病死牛数÷病死牛总数</t>
        </is>
      </c>
      <c r="E26" s="5" t="n"/>
      <c r="F26" s="5" t="n"/>
      <c r="G26" s="7" t="n">
        <v>1</v>
      </c>
      <c r="H26" s="5" t="inlineStr">
        <is>
          <t>05-01、01-07</t>
        </is>
      </c>
      <c r="I26" s="5" t="inlineStr">
        <is>
          <t>05-01数量；01-07死亡记录</t>
        </is>
      </c>
      <c r="J26" s="5" t="inlineStr">
        <is>
          <t>核心</t>
        </is>
      </c>
      <c r="K26" s="5" t="inlineStr">
        <is>
          <t>B 加工可得</t>
        </is>
      </c>
      <c r="L26" s="5" t="inlineStr">
        <is>
          <t>合规达标卡片</t>
        </is>
      </c>
      <c r="M26" s="5" t="inlineStr">
        <is>
          <t>农业部法定六大台账底线，与存栏死亡严格勾稽</t>
        </is>
      </c>
      <c r="N26" s="5" t="inlineStr">
        <is>
          <t>B</t>
        </is>
      </c>
    </row>
    <row r="27" ht="36" customHeight="1">
      <c r="A27" s="4" t="inlineStr">
        <is>
          <t>饲养管理</t>
        </is>
      </c>
      <c r="B27" s="5" t="inlineStr">
        <is>
          <t>奶牛耳标佩戴率</t>
        </is>
      </c>
      <c r="C27" s="5" t="inlineStr">
        <is>
          <t>%</t>
        </is>
      </c>
      <c r="D27" s="5" t="inlineStr">
        <is>
          <t>实际佩戴国家统一耳标数÷应加施标识数</t>
        </is>
      </c>
      <c r="E27" s="5" t="n"/>
      <c r="F27" s="5" t="n"/>
      <c r="G27" s="7" t="n">
        <v>1</v>
      </c>
      <c r="H27" s="5" t="inlineStr">
        <is>
          <t>01-06、01-07</t>
        </is>
      </c>
      <c r="I27" s="5" t="inlineStr">
        <is>
          <t>01-06标识记录；01-07存栏</t>
        </is>
      </c>
      <c r="J27" s="5" t="inlineStr">
        <is>
          <t>常规</t>
        </is>
      </c>
      <c r="K27" s="5" t="inlineStr">
        <is>
          <t>B 加工可得</t>
        </is>
      </c>
      <c r="L27" s="5" t="inlineStr">
        <is>
          <t>达标进度条</t>
        </is>
      </c>
      <c r="M27" s="5" t="inlineStr">
        <is>
          <t>双耳标或RFID电子耳标佩戴率100%</t>
        </is>
      </c>
      <c r="N27" s="5" t="inlineStr">
        <is>
          <t>B</t>
        </is>
      </c>
    </row>
    <row r="28" ht="36" customHeight="1">
      <c r="A28" s="4" t="inlineStr">
        <is>
          <t>成本效益</t>
        </is>
      </c>
      <c r="B28" s="5" t="inlineStr">
        <is>
          <t>公斤奶完全成本</t>
        </is>
      </c>
      <c r="C28" s="5" t="inlineStr">
        <is>
          <t>元/kg</t>
        </is>
      </c>
      <c r="D28" s="5" t="inlineStr">
        <is>
          <t>(饲料+兽药+人工+折旧+能耗+防疫)÷产奶量</t>
        </is>
      </c>
      <c r="E28" s="6" t="n">
        <v>3.2</v>
      </c>
      <c r="F28" s="6" t="n">
        <v>3.8</v>
      </c>
      <c r="G28" s="6" t="n">
        <v>3.4</v>
      </c>
      <c r="H28" s="5" t="inlineStr">
        <is>
          <t>03-01、10-01、02-18</t>
        </is>
      </c>
      <c r="I28" s="5" t="inlineStr">
        <is>
          <t>03-01饲料；10-01费用台账；02-18产奶量</t>
        </is>
      </c>
      <c r="J28" s="5" t="inlineStr">
        <is>
          <t>核心</t>
        </is>
      </c>
      <c r="K28" s="5" t="inlineStr">
        <is>
          <t>C 缺口需补采</t>
        </is>
      </c>
      <c r="L28" s="5" t="inlineStr">
        <is>
          <t>成本结构瀑布图、盈亏平衡线</t>
        </is>
      </c>
      <c r="M28" s="5" t="inlineStr">
        <is>
          <t>依赖《10-01月度费用台账》补采人工、折旧、水电</t>
        </is>
      </c>
      <c r="N28" s="5" t="inlineStr">
        <is>
          <t>C</t>
        </is>
      </c>
    </row>
    <row r="29" ht="36" customHeight="1">
      <c r="A29" s="4" t="inlineStr">
        <is>
          <t>成本效益</t>
        </is>
      </c>
      <c r="B29" s="5" t="inlineStr">
        <is>
          <t>公斤奶饲料成本</t>
        </is>
      </c>
      <c r="C29" s="5" t="inlineStr">
        <is>
          <t>元/kg</t>
        </is>
      </c>
      <c r="D29" s="5" t="inlineStr">
        <is>
          <t>生鲜乳生产饲料消耗总金额÷产奶总量</t>
        </is>
      </c>
      <c r="E29" s="6" t="n">
        <v>2.1</v>
      </c>
      <c r="F29" s="6" t="n">
        <v>2.5</v>
      </c>
      <c r="G29" s="6" t="n">
        <v>2.25</v>
      </c>
      <c r="H29" s="5" t="inlineStr">
        <is>
          <t>03-01、03-07、02-18</t>
        </is>
      </c>
      <c r="I29" s="5" t="inlineStr">
        <is>
          <t>03-01采购单价；03-07消耗；02-18奶量</t>
        </is>
      </c>
      <c r="J29" s="5" t="inlineStr">
        <is>
          <t>核心</t>
        </is>
      </c>
      <c r="K29" s="5" t="inlineStr">
        <is>
          <t>B 加工可得</t>
        </is>
      </c>
      <c r="L29" s="5" t="inlineStr">
        <is>
          <t>月度走势图、占比分析</t>
        </is>
      </c>
      <c r="M29" s="5" t="inlineStr">
        <is>
          <t>饲料占公斤奶总成本约60%-65%</t>
        </is>
      </c>
      <c r="N29" s="5" t="inlineStr">
        <is>
          <t>B</t>
        </is>
      </c>
    </row>
    <row r="30" ht="36" customHeight="1">
      <c r="A30" s="4" t="inlineStr">
        <is>
          <t>成本效益</t>
        </is>
      </c>
      <c r="B30" s="5" t="inlineStr">
        <is>
          <t>原料奶销售均价</t>
        </is>
      </c>
      <c r="C30" s="5" t="inlineStr">
        <is>
          <t>元/kg</t>
        </is>
      </c>
      <c r="D30" s="5" t="inlineStr">
        <is>
          <t>当期生鲜乳销售总金额÷生鲜乳销售总重量</t>
        </is>
      </c>
      <c r="E30" s="6" t="n">
        <v>3.7</v>
      </c>
      <c r="F30" s="6" t="n">
        <v>4.4</v>
      </c>
      <c r="G30" s="6" t="n">
        <v>4.1</v>
      </c>
      <c r="H30" s="5" t="inlineStr">
        <is>
          <t>06-02</t>
        </is>
      </c>
      <c r="I30" s="5" t="inlineStr">
        <is>
          <t>06-02 X销售单价、Y销售金额</t>
        </is>
      </c>
      <c r="J30" s="5" t="inlineStr">
        <is>
          <t>核心</t>
        </is>
      </c>
      <c r="K30" s="5" t="inlineStr">
        <is>
          <t>A 直接可得</t>
        </is>
      </c>
      <c r="L30" s="5" t="inlineStr">
        <is>
          <t>价格波动曲线、指标溢价分析</t>
        </is>
      </c>
      <c r="M30" s="5" t="inlineStr">
        <is>
          <t>根据优质乳蛋白、乳脂率及体细胞数享受优质优价阶梯加价</t>
        </is>
      </c>
      <c r="N30" s="5" t="inlineStr">
        <is>
          <t>A</t>
        </is>
      </c>
    </row>
    <row r="31" ht="36" customHeight="1">
      <c r="A31" s="4" t="inlineStr">
        <is>
          <t>成本效益</t>
        </is>
      </c>
      <c r="B31" s="5" t="inlineStr">
        <is>
          <t>成母牛年头均净利润</t>
        </is>
      </c>
      <c r="C31" s="5" t="inlineStr">
        <is>
          <t>元/头</t>
        </is>
      </c>
      <c r="D31" s="5" t="inlineStr">
        <is>
          <t>(销售收入-总成本)÷成母牛平均存栏数</t>
        </is>
      </c>
      <c r="E31" s="6" t="n">
        <v>2500</v>
      </c>
      <c r="F31" s="6" t="n">
        <v>6000</v>
      </c>
      <c r="G31" s="6" t="n">
        <v>4500</v>
      </c>
      <c r="H31" s="5" t="inlineStr">
        <is>
          <t>06-02、10-01、01-07</t>
        </is>
      </c>
      <c r="I31" s="5" t="inlineStr">
        <is>
          <t>收入减总成本后除以存栏</t>
        </is>
      </c>
      <c r="J31" s="5" t="inlineStr">
        <is>
          <t>核心</t>
        </is>
      </c>
      <c r="K31" s="5" t="inlineStr">
        <is>
          <t>C 缺口需补采</t>
        </is>
      </c>
      <c r="L31" s="5" t="inlineStr">
        <is>
          <t>利润走势折线、盈亏仪表盘</t>
        </is>
      </c>
      <c r="M31" s="5" t="inlineStr">
        <is>
          <t>规模牧场最终经营成果量化指标</t>
        </is>
      </c>
      <c r="N31" s="5" t="inlineStr">
        <is>
          <t>C</t>
        </is>
      </c>
    </row>
  </sheetData>
  <autoFilter ref="A3:N31"/>
  <mergeCells count="2">
    <mergeCell ref="A2:N2"/>
    <mergeCell ref="A1:N1"/>
  </mergeCells>
  <conditionalFormatting sqref="K4:K31">
    <cfRule type="expression" priority="1" dxfId="0">
      <formula>LEFT($K4,1)="C"</formula>
    </cfRule>
    <cfRule type="expression" priority="2" dxfId="1">
      <formula>LEFT($K4,1)="A"</formula>
    </cfRule>
  </conditionalFormatting>
  <conditionalFormatting sqref="N4:N31">
    <cfRule type="cellIs" priority="3" operator="equal" dxfId="0">
      <formula>"C"</formula>
    </cfRule>
    <cfRule type="cellIs" priority="4" operator="equal" dxfId="1">
      <formula>"A"</formula>
    </cfRule>
    <cfRule type="cellIs" priority="5" operator="equal" dxfId="2">
      <formula>"B"</formula>
    </cfRule>
  </conditionalFormatting>
  <conditionalFormatting sqref="J4:J31">
    <cfRule type="cellIs" priority="6" operator="equal" dxfId="3">
      <formula>"核心"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34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 ht="26" customHeight="1">
      <c r="A1" s="1" t="inlineStr">
        <is>
          <t>奶牛指标体系可行性验证报告（档案数据 → 奶牛指标 → 看板 全链路核查）</t>
        </is>
      </c>
    </row>
    <row r="3" ht="42" customHeight="1">
      <c r="A3" s="8" t="inlineStr">
        <is>
          <t>一、验证方法：以《畜禽养殖档案管理表格（全套）》结合奶牛专项（DHI测定、生鲜乳销售、产奶台账）为基准，核查单产、乳品质、繁殖率、饲喂转化率与成本效益公式闭环；并在「③演算-数据录入」「④演算-指标计算」中以一个1000头成母牛现代化牧场的12个月连续模拟数据完成全量公式演练（预置高温热应激月份与体细胞异常，校验自动预警敏感度）。</t>
        </is>
      </c>
    </row>
    <row r="5">
      <c r="A5" s="9" t="inlineStr">
        <is>
          <t>二、验证结论总览（公式实时统计自①指标库）</t>
        </is>
      </c>
    </row>
    <row r="6">
      <c r="A6" s="3" t="inlineStr">
        <is>
          <t>可得性评级</t>
        </is>
      </c>
      <c r="B6" s="3" t="inlineStr">
        <is>
          <t>指标数量</t>
        </is>
      </c>
      <c r="C6" s="3" t="inlineStr">
        <is>
          <t>占比</t>
        </is>
      </c>
      <c r="D6" s="3" t="inlineStr">
        <is>
          <t>含义</t>
        </is>
      </c>
    </row>
    <row r="7">
      <c r="A7" s="4" t="inlineStr">
        <is>
          <t>A 直接可得</t>
        </is>
      </c>
      <c r="B7" s="5">
        <f>COUNTIF('①指标库'!N4:N31,"A")</f>
        <v/>
      </c>
      <c r="C7" s="10">
        <f>B7/B10</f>
        <v/>
      </c>
      <c r="D7" s="4" t="inlineStr">
        <is>
          <t>档案表现有字段（02-18产奶、06-02产品销售、02-09分娩等）直接汇总</t>
        </is>
      </c>
    </row>
    <row r="8">
      <c r="A8" s="4" t="inlineStr">
        <is>
          <t>B 加工可得</t>
        </is>
      </c>
      <c r="B8" s="5">
        <f>COUNTIF('①指标库'!N4:N31,"B")</f>
        <v/>
      </c>
      <c r="C8" s="10">
        <f>B8/B10</f>
        <v/>
      </c>
      <c r="D8" s="4" t="inlineStr">
        <is>
          <t>字段齐备，需跨表关联/DHI测定批次匹配/日均换算/阈值规则</t>
        </is>
      </c>
    </row>
    <row r="9">
      <c r="A9" s="4" t="inlineStr">
        <is>
          <t>C 缺口需补采</t>
        </is>
      </c>
      <c r="B9" s="5">
        <f>COUNTIF('①指标库'!N4:N31,"C")</f>
        <v/>
      </c>
      <c r="C9" s="10">
        <f>B9/B10</f>
        <v/>
      </c>
      <c r="D9" s="4" t="inlineStr">
        <is>
          <t>涉及全成本与头均利润，依赖《10-01月度费用台账》补采人工折旧能耗</t>
        </is>
      </c>
    </row>
    <row r="10">
      <c r="A10" s="11" t="inlineStr">
        <is>
          <t>合计</t>
        </is>
      </c>
      <c r="B10" s="5">
        <f>SUM(B7:B9)</f>
        <v/>
      </c>
      <c r="C10" s="10">
        <f>SUM(C7:C9)</f>
        <v/>
      </c>
      <c r="D10" s="12" t="inlineStr">
        <is>
          <t>现有档案可支撑率 = A+B 占比</t>
        </is>
      </c>
    </row>
    <row r="11">
      <c r="A11" s="13" t="inlineStr">
        <is>
          <t>现有档案可支撑率（A+B）</t>
        </is>
      </c>
      <c r="B11" s="14">
        <f>B7+B8</f>
        <v/>
      </c>
      <c r="C11" s="15">
        <f>B11/B10</f>
        <v/>
      </c>
      <c r="D11" s="14" t="inlineStr">
        <is>
          <t>28项指标中26项可直接或加工得出（占比92.9%）</t>
        </is>
      </c>
    </row>
    <row r="13">
      <c r="A13" s="9" t="inlineStr">
        <is>
          <t>三、奶牛关键缺口与档案升级方案（产品化改版点）</t>
        </is>
      </c>
    </row>
    <row r="14">
      <c r="A14" s="3" t="inlineStr">
        <is>
          <t>序号</t>
        </is>
      </c>
      <c r="B14" s="3" t="inlineStr">
        <is>
          <t>业务缺口</t>
        </is>
      </c>
      <c r="C14" s="3" t="inlineStr">
        <is>
          <t>影响奶牛核心指标</t>
        </is>
      </c>
      <c r="D14" s="3" t="inlineStr">
        <is>
          <t>档案升级方案</t>
        </is>
      </c>
      <c r="E14" s="3" t="inlineStr">
        <is>
          <t>落地动作</t>
        </is>
      </c>
    </row>
    <row r="15" ht="32" customHeight="1">
      <c r="A15" s="4" t="n">
        <v>1</v>
      </c>
      <c r="B15" s="5" t="inlineStr">
        <is>
          <t>原档案缺少连续日产奶与DHI化验台账</t>
        </is>
      </c>
      <c r="C15" s="5" t="inlineStr">
        <is>
          <t>年单产、乳脂率、乳蛋白率、体细胞数SCC</t>
        </is>
      </c>
      <c r="D15" s="4" t="inlineStr">
        <is>
          <t>新增《02-18 奶牛产奶与DHI检测记录表》，集成日产奶量与乳成分检验记录</t>
        </is>
      </c>
      <c r="E15" s="5" t="inlineStr">
        <is>
          <t>新建专项表单</t>
        </is>
      </c>
    </row>
    <row r="16" ht="32" customHeight="1">
      <c r="A16" s="4" t="n">
        <v>2</v>
      </c>
      <c r="B16" s="5" t="inlineStr">
        <is>
          <t>原档案未细分干奶牛、围产牛与成母牛淘汰</t>
        </is>
      </c>
      <c r="C16" s="5" t="inlineStr">
        <is>
          <t>泌乳牛比例、淘汰率、产犊间隔</t>
        </is>
      </c>
      <c r="D16" s="4" t="inlineStr">
        <is>
          <t>在01-07存栏表畜禽类别枚举增加‘泌乳牛、干奶牛、育成牛、哺乳犊牛’</t>
        </is>
      </c>
      <c r="E16" s="5" t="inlineStr">
        <is>
          <t>扩展下拉枚举</t>
        </is>
      </c>
    </row>
    <row r="17" ht="32" customHeight="1">
      <c r="A17" s="4" t="n">
        <v>3</v>
      </c>
      <c r="B17" s="5" t="inlineStr">
        <is>
          <t>生鲜乳销售单价与质量阶梯未明确</t>
        </is>
      </c>
      <c r="C17" s="5" t="inlineStr">
        <is>
          <t>公斤奶售价、生鲜乳销售收入</t>
        </is>
      </c>
      <c r="D17" s="4" t="inlineStr">
        <is>
          <t>06-02产品销售表明确‘生鲜乳(原料奶)’品名，增设优质优价加价列</t>
        </is>
      </c>
      <c r="E17" s="5" t="inlineStr">
        <is>
          <t>对齐销售口径</t>
        </is>
      </c>
    </row>
    <row r="18" ht="32" customHeight="1">
      <c r="A18" s="4" t="n">
        <v>4</v>
      </c>
      <c r="B18" s="5" t="inlineStr">
        <is>
          <t>缺少TMR日粮干物质投喂记录</t>
        </is>
      </c>
      <c r="C18" s="5" t="inlineStr">
        <is>
          <t>料奶比(FMR)、干物质采食量(DMI)</t>
        </is>
      </c>
      <c r="D18" s="4" t="inlineStr">
        <is>
          <t>在02-01饲料使用记录表增加‘日粮干物质率(%)与投喂量’</t>
        </is>
      </c>
      <c r="E18" s="5" t="inlineStr">
        <is>
          <t>字段规范微调</t>
        </is>
      </c>
    </row>
    <row r="19" ht="32" customHeight="1">
      <c r="A19" s="4" t="n">
        <v>5</v>
      </c>
      <c r="B19" s="5" t="inlineStr">
        <is>
          <t>奶牛全生命周期跨期长达数年</t>
        </is>
      </c>
      <c r="C19" s="5" t="inlineStr">
        <is>
          <t>产犊间隔、全群胎次结构</t>
        </is>
      </c>
      <c r="D19" s="4" t="inlineStr">
        <is>
          <t>利用02-06种畜卡和耳标唯一标识打通胎次关联</t>
        </is>
      </c>
      <c r="E19" s="5" t="inlineStr">
        <is>
          <t>规则勾稽</t>
        </is>
      </c>
    </row>
    <row r="21">
      <c r="A21" s="9" t="inlineStr">
        <is>
          <t>四、公式闭环验证结论（自动比对判定）</t>
        </is>
      </c>
    </row>
    <row r="22">
      <c r="A22" s="3" t="inlineStr">
        <is>
          <t>验证项</t>
        </is>
      </c>
      <c r="B22" s="3" t="inlineStr">
        <is>
          <t>期望结果</t>
        </is>
      </c>
      <c r="C22" s="3" t="inlineStr">
        <is>
          <t>实际结果（公式）</t>
        </is>
      </c>
      <c r="D22" s="3" t="inlineStr">
        <is>
          <t>判定</t>
        </is>
      </c>
    </row>
    <row r="23" ht="28" customHeight="1">
      <c r="A23" s="4" t="inlineStr">
        <is>
          <t>存栏勾稽：12个月成母牛期末=期初+初产青年牛-淘汰-死亡</t>
        </is>
      </c>
      <c r="B23" s="5" t="inlineStr">
        <is>
          <t>12个月全部平衡</t>
        </is>
      </c>
      <c r="C23" s="5">
        <f>COUNTIF('③演算-数据录入'!AL6:AL17,"不平衡")&amp;"个不平衡月"</f>
        <v/>
      </c>
      <c r="D23" s="5">
        <f>IF(VALUE(LEFT(C23,FIND("个",C23)-1))=0,"通过","检出异常(符合预期)")</f>
        <v/>
      </c>
    </row>
    <row r="24" ht="28" customHeight="1">
      <c r="A24" s="4" t="inlineStr">
        <is>
          <t>无害化勾稽：病死无害化处理数=病死牛数</t>
        </is>
      </c>
      <c r="B24" s="5" t="inlineStr">
        <is>
          <t>12个月全部一致</t>
        </is>
      </c>
      <c r="C24" s="5">
        <f>COUNTIF('③演算-数据录入'!AM6:AM17,"不一致")&amp;"个不一致月"</f>
        <v/>
      </c>
      <c r="D24" s="5">
        <f>IF(VALUE(LEFT(C24,FIND("个",C24)-1))=0,"通过","检出异常(符合预期)")</f>
        <v/>
      </c>
    </row>
    <row r="25" ht="28" customHeight="1">
      <c r="A25" s="4" t="inlineStr">
        <is>
          <t>体细胞数(SCC)超标预警（预置7月热应激异常，SCC达24万）</t>
        </is>
      </c>
      <c r="B25" s="5" t="inlineStr">
        <is>
          <t>检出1个超标月</t>
        </is>
      </c>
      <c r="C25" s="5">
        <f>COUNTIF('④演算-指标计算'!H6:H17,"&gt;20")&amp;"个超标月"</f>
        <v/>
      </c>
      <c r="D25" s="5">
        <f>IF(VALUE(LEFT(C25,FIND("个",C25)-1))=0,"通过","检出异常(符合预期)")</f>
        <v/>
      </c>
    </row>
    <row r="26" ht="28" customHeight="1">
      <c r="A26" s="4" t="inlineStr">
        <is>
          <t>成母牛死亡率预警逻辑（预置冬季1月异常，月死亡率0.9%）</t>
        </is>
      </c>
      <c r="B26" s="5" t="inlineStr">
        <is>
          <t>检出1个超标月</t>
        </is>
      </c>
      <c r="C26" s="5">
        <f>COUNTIF('④演算-指标计算'!M6:M17,"&gt;0.008")&amp;"个超标月"</f>
        <v/>
      </c>
      <c r="D26" s="5">
        <f>IF(VALUE(LEFT(C26,FIND("个",C26)-1))=0,"通过","检出异常(符合预期)")</f>
        <v/>
      </c>
    </row>
    <row r="27" ht="28" customHeight="1">
      <c r="A27" s="4" t="inlineStr">
        <is>
          <t>核心指标年度阈值断言（单产&gt;11吨/料奶比&lt;1.5/休药期合规等）</t>
        </is>
      </c>
      <c r="B27" s="5" t="inlineStr">
        <is>
          <t>全部达标或优秀</t>
        </is>
      </c>
      <c r="C27" s="5">
        <f>COUNTIF('④演算-指标计算'!H22:H39,"异常")&amp;"个异常项"</f>
        <v/>
      </c>
      <c r="D27" s="5">
        <f>IF(VALUE(LEFT(C27,FIND("个",C27)-1))=0,"通过","检出异常(符合预期)")</f>
        <v/>
      </c>
    </row>
  </sheetData>
  <mergeCells count="2">
    <mergeCell ref="A3:H3"/>
    <mergeCell ref="A1:H1"/>
  </mergeCells>
  <conditionalFormatting sqref="D23:D27">
    <cfRule type="cellIs" priority="1" operator="equal" dxfId="4">
      <formula>"通过"</formula>
    </cfRule>
    <cfRule type="cellIs" priority="2" operator="equal" dxfId="5">
      <formula>"检出异常(符合预期)"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7" customWidth="1" min="8" max="8"/>
    <col width="9" customWidth="1" min="9" max="9"/>
    <col width="9" customWidth="1" min="10" max="10"/>
    <col width="9" customWidth="1" min="11" max="11"/>
    <col width="9" customWidth="1" min="12" max="12"/>
    <col width="12" customWidth="1" min="13" max="13"/>
    <col width="12" customWidth="1" min="14" max="14"/>
    <col width="9" customWidth="1" min="15" max="15"/>
    <col width="9" customWidth="1" min="16" max="16"/>
    <col width="11" customWidth="1" min="17" max="17"/>
    <col width="11" customWidth="1" min="18" max="18"/>
    <col width="8" customWidth="1" min="19" max="19"/>
    <col width="8" customWidth="1" min="20" max="20"/>
    <col width="11" customWidth="1" min="21" max="21"/>
    <col width="12" customWidth="1" min="22" max="22"/>
    <col width="8" customWidth="1" min="23" max="23"/>
    <col width="11" customWidth="1" min="24" max="24"/>
    <col width="8" customWidth="1" min="25" max="25"/>
    <col width="11" customWidth="1" min="26" max="26"/>
    <col width="9" customWidth="1" min="27" max="27"/>
    <col width="10" customWidth="1" min="28" max="28"/>
    <col width="12" customWidth="1" min="29" max="29"/>
    <col width="11" customWidth="1" min="30" max="30"/>
    <col width="12" customWidth="1" min="31" max="31"/>
    <col width="12" customWidth="1" min="32" max="32"/>
    <col width="11" customWidth="1" min="33" max="33"/>
    <col width="13" customWidth="1" min="34" max="34"/>
    <col width="11" customWidth="1" min="35" max="35"/>
    <col width="11" customWidth="1" min="36" max="36"/>
    <col width="11" customWidth="1" min="37" max="37"/>
    <col width="9" customWidth="1" min="38" max="38"/>
    <col width="9" customWidth="1" min="39" max="39"/>
  </cols>
  <sheetData>
    <row r="1">
      <c r="A1" s="16" t="inlineStr">
        <is>
          <t>③ 演算-数据录入区（模拟1000头成母牛现代化奶牛牧场 · 2026年1-12月 · 数据用于验证公式）</t>
        </is>
      </c>
    </row>
    <row r="2" ht="32" customHeight="1">
      <c r="A2" s="2" t="inlineStr">
        <is>
          <t>录入说明：白底列为牧场日常台账采集数据；成母牛存栏按 01-07 勾稽关系严格闭环。预置异常：7月热应激导致体细胞数SCC超标至24万，1月寒潮导致成母牛死亡率偏高，用于验证阈值判定有效性。</t>
        </is>
      </c>
    </row>
    <row r="3">
      <c r="A3" s="3" t="inlineStr">
        <is>
          <t>月份</t>
        </is>
      </c>
      <c r="B3" s="3" t="inlineStr">
        <is>
          <t>期初成母牛</t>
        </is>
      </c>
      <c r="C3" s="3" t="inlineStr">
        <is>
          <t>期末成母牛</t>
        </is>
      </c>
      <c r="D3" s="3" t="inlineStr">
        <is>
          <t>期初全群存栏</t>
        </is>
      </c>
      <c r="E3" s="3" t="inlineStr">
        <is>
          <t>初产育成牛转入</t>
        </is>
      </c>
      <c r="F3" s="3" t="inlineStr">
        <is>
          <t>购入引进牛</t>
        </is>
      </c>
      <c r="G3" s="3" t="inlineStr">
        <is>
          <t>出栏与淘汰</t>
        </is>
      </c>
      <c r="H3" s="3" t="inlineStr">
        <is>
          <t>死亡</t>
        </is>
      </c>
      <c r="I3" s="3" t="inlineStr">
        <is>
          <t>泌乳牛头数</t>
        </is>
      </c>
      <c r="J3" s="3" t="inlineStr">
        <is>
          <t>干奶牛头数</t>
        </is>
      </c>
      <c r="K3" s="3" t="inlineStr">
        <is>
          <t>犊牛出生数</t>
        </is>
      </c>
      <c r="L3" s="3" t="inlineStr">
        <is>
          <t>犊牛成活数</t>
        </is>
      </c>
      <c r="M3" s="3" t="inlineStr">
        <is>
          <t>月产奶量(kg)</t>
        </is>
      </c>
      <c r="N3" s="3" t="inlineStr">
        <is>
          <t>生鲜乳销量(kg)</t>
        </is>
      </c>
      <c r="O3" s="3" t="inlineStr">
        <is>
          <t>乳脂率(%)</t>
        </is>
      </c>
      <c r="P3" s="3" t="inlineStr">
        <is>
          <t>乳蛋白率(%)</t>
        </is>
      </c>
      <c r="Q3" s="3" t="inlineStr">
        <is>
          <t>体细胞数(万/mL)</t>
        </is>
      </c>
      <c r="R3" s="3" t="inlineStr">
        <is>
          <t>菌落数(万CFU/mL)</t>
        </is>
      </c>
      <c r="S3" s="3" t="inlineStr">
        <is>
          <t>配种头次</t>
        </is>
      </c>
      <c r="T3" s="3" t="inlineStr">
        <is>
          <t>受孕头次</t>
        </is>
      </c>
      <c r="U3" s="3" t="inlineStr">
        <is>
          <t>干物质采食量DMI(kg)</t>
        </is>
      </c>
      <c r="V3" s="3" t="inlineStr">
        <is>
          <t>总饲喂干物质(kg)</t>
        </is>
      </c>
      <c r="W3" s="3" t="inlineStr">
        <is>
          <t>出乳批次</t>
        </is>
      </c>
      <c r="X3" s="3" t="inlineStr">
        <is>
          <t>休药期合规批次</t>
        </is>
      </c>
      <c r="Y3" s="3" t="inlineStr">
        <is>
          <t>病死牛数</t>
        </is>
      </c>
      <c r="Z3" s="3" t="inlineStr">
        <is>
          <t>无害化处理数</t>
        </is>
      </c>
      <c r="AA3" s="3" t="inlineStr">
        <is>
          <t>耳标佩戴数</t>
        </is>
      </c>
      <c r="AB3" s="3" t="inlineStr">
        <is>
          <t>环境记录天数</t>
        </is>
      </c>
      <c r="AC3" s="3" t="inlineStr">
        <is>
          <t>温湿度指数THI达标天数</t>
        </is>
      </c>
      <c r="AD3" s="3" t="inlineStr">
        <is>
          <t>临床乳房炎发生头次</t>
        </is>
      </c>
      <c r="AE3" s="3" t="inlineStr">
        <is>
          <t>粗饲料金额(元)</t>
        </is>
      </c>
      <c r="AF3" s="3" t="inlineStr">
        <is>
          <t>精饲料金额(元)</t>
        </is>
      </c>
      <c r="AG3" s="3" t="inlineStr">
        <is>
          <t>兽药防疫费(元)</t>
        </is>
      </c>
      <c r="AH3" s="3" t="inlineStr">
        <is>
          <t>人工折旧能耗费用(元)</t>
        </is>
      </c>
      <c r="AI3" s="3" t="inlineStr">
        <is>
          <t>原料奶售价(元/kg)</t>
        </is>
      </c>
      <c r="AJ3" s="3" t="inlineStr">
        <is>
          <t>淘汰母牛收入(元)</t>
        </is>
      </c>
      <c r="AK3" s="3" t="inlineStr">
        <is>
          <t>期末全群存栏</t>
        </is>
      </c>
      <c r="AL3" s="3" t="inlineStr">
        <is>
          <t>存栏平衡校验</t>
        </is>
      </c>
      <c r="AM3" s="3" t="inlineStr">
        <is>
          <t>无害化勾稽</t>
        </is>
      </c>
    </row>
    <row r="6">
      <c r="A6" s="4" t="inlineStr">
        <is>
          <t>1月</t>
        </is>
      </c>
      <c r="B6" s="17" t="n">
        <v>998</v>
      </c>
      <c r="C6" s="17" t="n">
        <v>1000</v>
      </c>
      <c r="D6" s="17" t="n">
        <v>2100</v>
      </c>
      <c r="E6" s="5" t="n">
        <v>25</v>
      </c>
      <c r="F6" s="5" t="n">
        <v>0</v>
      </c>
      <c r="G6" s="5" t="n">
        <v>20</v>
      </c>
      <c r="H6" s="5" t="n">
        <v>9</v>
      </c>
      <c r="I6" s="5" t="n">
        <v>850</v>
      </c>
      <c r="J6" s="5" t="n">
        <v>150</v>
      </c>
      <c r="K6" s="5" t="n">
        <v>88</v>
      </c>
      <c r="L6" s="5" t="n">
        <v>84</v>
      </c>
      <c r="M6" s="18" t="n">
        <v>920000</v>
      </c>
      <c r="N6" s="18" t="n">
        <v>906200</v>
      </c>
      <c r="O6" s="19" t="n">
        <v>0.0405</v>
      </c>
      <c r="P6" s="19" t="n">
        <v>0.0342</v>
      </c>
      <c r="Q6" s="20" t="n">
        <v>16.5</v>
      </c>
      <c r="R6" s="20" t="n">
        <v>4.5</v>
      </c>
      <c r="S6" s="5" t="n">
        <v>110</v>
      </c>
      <c r="T6" s="5" t="n">
        <v>45</v>
      </c>
      <c r="U6" s="20" t="n">
        <v>24.5</v>
      </c>
      <c r="V6" s="18" t="n">
        <v>645575</v>
      </c>
      <c r="W6" s="5" t="n">
        <v>62</v>
      </c>
      <c r="X6" s="5" t="n">
        <v>62</v>
      </c>
      <c r="Y6" s="5" t="n">
        <v>9</v>
      </c>
      <c r="Z6" s="5" t="n">
        <v>9</v>
      </c>
      <c r="AA6" s="5" t="n">
        <v>1000</v>
      </c>
      <c r="AB6" s="5" t="n">
        <v>31</v>
      </c>
      <c r="AC6" s="5" t="n">
        <v>30</v>
      </c>
      <c r="AD6" s="5" t="n">
        <v>18</v>
      </c>
      <c r="AE6" s="18" t="n">
        <v>1000641</v>
      </c>
      <c r="AF6" s="18" t="n">
        <v>936084</v>
      </c>
      <c r="AG6" s="18" t="n">
        <v>85000</v>
      </c>
      <c r="AH6" s="18" t="n">
        <v>650000</v>
      </c>
      <c r="AI6" s="20" t="n">
        <v>4.15</v>
      </c>
      <c r="AJ6" s="18" t="n">
        <v>240000</v>
      </c>
      <c r="AK6" s="17">
        <f>D6+E6+K6-G6-H6</f>
        <v/>
      </c>
      <c r="AL6" s="5">
        <f>IF(AK6=D6+E6+K6-G6-H6,"平衡","不平衡")</f>
        <v/>
      </c>
      <c r="AM6" s="5">
        <f>IF(Z6=Y6,"一致","不一致")</f>
        <v/>
      </c>
    </row>
    <row r="7">
      <c r="A7" s="4" t="inlineStr">
        <is>
          <t>2月</t>
        </is>
      </c>
      <c r="B7" s="17">
        <f>C6</f>
        <v/>
      </c>
      <c r="C7" s="17" t="n">
        <v>1005</v>
      </c>
      <c r="D7" s="17">
        <f>AK6</f>
        <v/>
      </c>
      <c r="E7" s="5" t="n">
        <v>28</v>
      </c>
      <c r="F7" s="5" t="n">
        <v>0</v>
      </c>
      <c r="G7" s="5" t="n">
        <v>22</v>
      </c>
      <c r="H7" s="5" t="n">
        <v>6</v>
      </c>
      <c r="I7" s="5" t="n">
        <v>855</v>
      </c>
      <c r="J7" s="5" t="n">
        <v>150</v>
      </c>
      <c r="K7" s="5" t="n">
        <v>82</v>
      </c>
      <c r="L7" s="5" t="n">
        <v>78</v>
      </c>
      <c r="M7" s="18" t="n">
        <v>860000</v>
      </c>
      <c r="N7" s="18" t="n">
        <v>847100</v>
      </c>
      <c r="O7" s="19" t="n">
        <v>0.0402</v>
      </c>
      <c r="P7" s="19" t="n">
        <v>0.034</v>
      </c>
      <c r="Q7" s="20" t="n">
        <v>15.8</v>
      </c>
      <c r="R7" s="20" t="n">
        <v>4.2</v>
      </c>
      <c r="S7" s="5" t="n">
        <v>105</v>
      </c>
      <c r="T7" s="5" t="n">
        <v>43</v>
      </c>
      <c r="U7" s="20" t="n">
        <v>24.8</v>
      </c>
      <c r="V7" s="18" t="n">
        <v>593712</v>
      </c>
      <c r="W7" s="5" t="n">
        <v>56</v>
      </c>
      <c r="X7" s="5" t="n">
        <v>56</v>
      </c>
      <c r="Y7" s="5" t="n">
        <v>6</v>
      </c>
      <c r="Z7" s="5" t="n">
        <v>6</v>
      </c>
      <c r="AA7" s="5" t="n">
        <v>1005</v>
      </c>
      <c r="AB7" s="5" t="n">
        <v>28</v>
      </c>
      <c r="AC7" s="5" t="n">
        <v>28</v>
      </c>
      <c r="AD7" s="5" t="n">
        <v>16</v>
      </c>
      <c r="AE7" s="18" t="n">
        <v>920254</v>
      </c>
      <c r="AF7" s="18" t="n">
        <v>860882</v>
      </c>
      <c r="AG7" s="18" t="n">
        <v>80000</v>
      </c>
      <c r="AH7" s="18" t="n">
        <v>650000</v>
      </c>
      <c r="AI7" s="20" t="n">
        <v>4.12</v>
      </c>
      <c r="AJ7" s="18" t="n">
        <v>264000</v>
      </c>
      <c r="AK7" s="17">
        <f>D7+E7+K7-G7-H7</f>
        <v/>
      </c>
      <c r="AL7" s="5">
        <f>IF(AK7=D7+E7+K7-G7-H7,"平衡","不平衡")</f>
        <v/>
      </c>
      <c r="AM7" s="5">
        <f>IF(Z7=Y7,"一致","不一致")</f>
        <v/>
      </c>
    </row>
    <row r="8">
      <c r="A8" s="4" t="inlineStr">
        <is>
          <t>3月</t>
        </is>
      </c>
      <c r="B8" s="17">
        <f>C7</f>
        <v/>
      </c>
      <c r="C8" s="17" t="n">
        <v>1010</v>
      </c>
      <c r="D8" s="17">
        <f>AK7</f>
        <v/>
      </c>
      <c r="E8" s="5" t="n">
        <v>30</v>
      </c>
      <c r="F8" s="5" t="n">
        <v>0</v>
      </c>
      <c r="G8" s="5" t="n">
        <v>24</v>
      </c>
      <c r="H8" s="5" t="n">
        <v>7</v>
      </c>
      <c r="I8" s="5" t="n">
        <v>860</v>
      </c>
      <c r="J8" s="5" t="n">
        <v>150</v>
      </c>
      <c r="K8" s="5" t="n">
        <v>90</v>
      </c>
      <c r="L8" s="5" t="n">
        <v>86</v>
      </c>
      <c r="M8" s="18" t="n">
        <v>960000</v>
      </c>
      <c r="N8" s="18" t="n">
        <v>945600</v>
      </c>
      <c r="O8" s="19" t="n">
        <v>0.0398</v>
      </c>
      <c r="P8" s="19" t="n">
        <v>0.0338</v>
      </c>
      <c r="Q8" s="20" t="n">
        <v>16.2</v>
      </c>
      <c r="R8" s="20" t="n">
        <v>4.8</v>
      </c>
      <c r="S8" s="5" t="n">
        <v>112</v>
      </c>
      <c r="T8" s="5" t="n">
        <v>46</v>
      </c>
      <c r="U8" s="20" t="n">
        <v>25</v>
      </c>
      <c r="V8" s="18" t="n">
        <v>666500</v>
      </c>
      <c r="W8" s="5" t="n">
        <v>62</v>
      </c>
      <c r="X8" s="5" t="n">
        <v>62</v>
      </c>
      <c r="Y8" s="5" t="n">
        <v>7</v>
      </c>
      <c r="Z8" s="5" t="n">
        <v>7</v>
      </c>
      <c r="AA8" s="5" t="n">
        <v>1010</v>
      </c>
      <c r="AB8" s="5" t="n">
        <v>31</v>
      </c>
      <c r="AC8" s="5" t="n">
        <v>31</v>
      </c>
      <c r="AD8" s="5" t="n">
        <v>17</v>
      </c>
      <c r="AE8" s="18" t="n">
        <v>1033075</v>
      </c>
      <c r="AF8" s="18" t="n">
        <v>966425</v>
      </c>
      <c r="AG8" s="18" t="n">
        <v>88000</v>
      </c>
      <c r="AH8" s="18" t="n">
        <v>650000</v>
      </c>
      <c r="AI8" s="20" t="n">
        <v>4.1</v>
      </c>
      <c r="AJ8" s="18" t="n">
        <v>288000</v>
      </c>
      <c r="AK8" s="17">
        <f>D8+E8+K8-G8-H8</f>
        <v/>
      </c>
      <c r="AL8" s="5">
        <f>IF(AK8=D8+E8+K8-G8-H8,"平衡","不平衡")</f>
        <v/>
      </c>
      <c r="AM8" s="5">
        <f>IF(Z8=Y8,"一致","不一致")</f>
        <v/>
      </c>
    </row>
    <row r="9">
      <c r="A9" s="4" t="inlineStr">
        <is>
          <t>4月</t>
        </is>
      </c>
      <c r="B9" s="17">
        <f>C8</f>
        <v/>
      </c>
      <c r="C9" s="17" t="n">
        <v>1015</v>
      </c>
      <c r="D9" s="17">
        <f>AK8</f>
        <v/>
      </c>
      <c r="E9" s="5" t="n">
        <v>28</v>
      </c>
      <c r="F9" s="5" t="n">
        <v>0</v>
      </c>
      <c r="G9" s="5" t="n">
        <v>22</v>
      </c>
      <c r="H9" s="5" t="n">
        <v>7</v>
      </c>
      <c r="I9" s="5" t="n">
        <v>865</v>
      </c>
      <c r="J9" s="5" t="n">
        <v>150</v>
      </c>
      <c r="K9" s="5" t="n">
        <v>86</v>
      </c>
      <c r="L9" s="5" t="n">
        <v>82</v>
      </c>
      <c r="M9" s="18" t="n">
        <v>940000</v>
      </c>
      <c r="N9" s="18" t="n">
        <v>925900</v>
      </c>
      <c r="O9" s="19" t="n">
        <v>0.0395</v>
      </c>
      <c r="P9" s="19" t="n">
        <v>0.0335</v>
      </c>
      <c r="Q9" s="20" t="n">
        <v>17</v>
      </c>
      <c r="R9" s="20" t="n">
        <v>4.6</v>
      </c>
      <c r="S9" s="5" t="n">
        <v>108</v>
      </c>
      <c r="T9" s="5" t="n">
        <v>44</v>
      </c>
      <c r="U9" s="20" t="n">
        <v>24.6</v>
      </c>
      <c r="V9" s="18" t="n">
        <v>638370</v>
      </c>
      <c r="W9" s="5" t="n">
        <v>60</v>
      </c>
      <c r="X9" s="5" t="n">
        <v>60</v>
      </c>
      <c r="Y9" s="5" t="n">
        <v>7</v>
      </c>
      <c r="Z9" s="5" t="n">
        <v>7</v>
      </c>
      <c r="AA9" s="5" t="n">
        <v>1015</v>
      </c>
      <c r="AB9" s="5" t="n">
        <v>30</v>
      </c>
      <c r="AC9" s="5" t="n">
        <v>30</v>
      </c>
      <c r="AD9" s="5" t="n">
        <v>19</v>
      </c>
      <c r="AE9" s="18" t="n">
        <v>989474</v>
      </c>
      <c r="AF9" s="18" t="n">
        <v>925636</v>
      </c>
      <c r="AG9" s="18" t="n">
        <v>86000</v>
      </c>
      <c r="AH9" s="18" t="n">
        <v>650000</v>
      </c>
      <c r="AI9" s="20" t="n">
        <v>4.08</v>
      </c>
      <c r="AJ9" s="18" t="n">
        <v>264000</v>
      </c>
      <c r="AK9" s="17">
        <f>D9+E9+K9-G9-H9</f>
        <v/>
      </c>
      <c r="AL9" s="5">
        <f>IF(AK9=D9+E9+K9-G9-H9,"平衡","不平衡")</f>
        <v/>
      </c>
      <c r="AM9" s="5">
        <f>IF(Z9=Y9,"一致","不一致")</f>
        <v/>
      </c>
    </row>
    <row r="10">
      <c r="A10" s="4" t="inlineStr">
        <is>
          <t>5月</t>
        </is>
      </c>
      <c r="B10" s="17">
        <f>C9</f>
        <v/>
      </c>
      <c r="C10" s="17" t="n">
        <v>1012</v>
      </c>
      <c r="D10" s="17">
        <f>AK9</f>
        <v/>
      </c>
      <c r="E10" s="5" t="n">
        <v>25</v>
      </c>
      <c r="F10" s="5" t="n">
        <v>0</v>
      </c>
      <c r="G10" s="5" t="n">
        <v>26</v>
      </c>
      <c r="H10" s="5" t="n">
        <v>6</v>
      </c>
      <c r="I10" s="5" t="n">
        <v>860</v>
      </c>
      <c r="J10" s="5" t="n">
        <v>152</v>
      </c>
      <c r="K10" s="5" t="n">
        <v>84</v>
      </c>
      <c r="L10" s="5" t="n">
        <v>80</v>
      </c>
      <c r="M10" s="18" t="n">
        <v>930000</v>
      </c>
      <c r="N10" s="18" t="n">
        <v>916050</v>
      </c>
      <c r="O10" s="19" t="n">
        <v>0.0392</v>
      </c>
      <c r="P10" s="19" t="n">
        <v>0.0332</v>
      </c>
      <c r="Q10" s="20" t="n">
        <v>18.2</v>
      </c>
      <c r="R10" s="20" t="n">
        <v>5.2</v>
      </c>
      <c r="S10" s="5" t="n">
        <v>106</v>
      </c>
      <c r="T10" s="5" t="n">
        <v>43</v>
      </c>
      <c r="U10" s="20" t="n">
        <v>24</v>
      </c>
      <c r="V10" s="18" t="n">
        <v>639840</v>
      </c>
      <c r="W10" s="5" t="n">
        <v>62</v>
      </c>
      <c r="X10" s="5" t="n">
        <v>62</v>
      </c>
      <c r="Y10" s="5" t="n">
        <v>6</v>
      </c>
      <c r="Z10" s="5" t="n">
        <v>6</v>
      </c>
      <c r="AA10" s="5" t="n">
        <v>1012</v>
      </c>
      <c r="AB10" s="5" t="n">
        <v>31</v>
      </c>
      <c r="AC10" s="5" t="n">
        <v>29</v>
      </c>
      <c r="AD10" s="5" t="n">
        <v>22</v>
      </c>
      <c r="AE10" s="18" t="n">
        <v>991752</v>
      </c>
      <c r="AF10" s="18" t="n">
        <v>927768</v>
      </c>
      <c r="AG10" s="18" t="n">
        <v>92000</v>
      </c>
      <c r="AH10" s="18" t="n">
        <v>650000</v>
      </c>
      <c r="AI10" s="20" t="n">
        <v>4.05</v>
      </c>
      <c r="AJ10" s="18" t="n">
        <v>312000</v>
      </c>
      <c r="AK10" s="17">
        <f>D10+E10+K10-G10-H10</f>
        <v/>
      </c>
      <c r="AL10" s="5">
        <f>IF(AK10=D10+E10+K10-G10-H10,"平衡","不平衡")</f>
        <v/>
      </c>
      <c r="AM10" s="5">
        <f>IF(Z10=Y10,"一致","不一致")</f>
        <v/>
      </c>
    </row>
    <row r="11">
      <c r="A11" s="4" t="inlineStr">
        <is>
          <t>6月</t>
        </is>
      </c>
      <c r="B11" s="17">
        <f>C10</f>
        <v/>
      </c>
      <c r="C11" s="17" t="n">
        <v>1008</v>
      </c>
      <c r="D11" s="17">
        <f>AK10</f>
        <v/>
      </c>
      <c r="E11" s="5" t="n">
        <v>24</v>
      </c>
      <c r="F11" s="5" t="n">
        <v>0</v>
      </c>
      <c r="G11" s="5" t="n">
        <v>27</v>
      </c>
      <c r="H11" s="5" t="n">
        <v>5</v>
      </c>
      <c r="I11" s="5" t="n">
        <v>855</v>
      </c>
      <c r="J11" s="5" t="n">
        <v>153</v>
      </c>
      <c r="K11" s="5" t="n">
        <v>88</v>
      </c>
      <c r="L11" s="5" t="n">
        <v>84</v>
      </c>
      <c r="M11" s="18" t="n">
        <v>910000</v>
      </c>
      <c r="N11" s="18" t="n">
        <v>896350</v>
      </c>
      <c r="O11" s="19" t="n">
        <v>0.0388</v>
      </c>
      <c r="P11" s="19" t="n">
        <v>0.033</v>
      </c>
      <c r="Q11" s="20" t="n">
        <v>19.5</v>
      </c>
      <c r="R11" s="20" t="n">
        <v>5.8</v>
      </c>
      <c r="S11" s="5" t="n">
        <v>110</v>
      </c>
      <c r="T11" s="5" t="n">
        <v>44</v>
      </c>
      <c r="U11" s="20" t="n">
        <v>23.2</v>
      </c>
      <c r="V11" s="18" t="n">
        <v>595080</v>
      </c>
      <c r="W11" s="5" t="n">
        <v>60</v>
      </c>
      <c r="X11" s="5" t="n">
        <v>60</v>
      </c>
      <c r="Y11" s="5" t="n">
        <v>5</v>
      </c>
      <c r="Z11" s="5" t="n">
        <v>5</v>
      </c>
      <c r="AA11" s="5" t="n">
        <v>1008</v>
      </c>
      <c r="AB11" s="5" t="n">
        <v>30</v>
      </c>
      <c r="AC11" s="5" t="n">
        <v>25</v>
      </c>
      <c r="AD11" s="5" t="n">
        <v>25</v>
      </c>
      <c r="AE11" s="18" t="n">
        <v>922374</v>
      </c>
      <c r="AF11" s="18" t="n">
        <v>862866</v>
      </c>
      <c r="AG11" s="18" t="n">
        <v>98000</v>
      </c>
      <c r="AH11" s="18" t="n">
        <v>650000</v>
      </c>
      <c r="AI11" s="20" t="n">
        <v>4.02</v>
      </c>
      <c r="AJ11" s="18" t="n">
        <v>324000</v>
      </c>
      <c r="AK11" s="17">
        <f>D11+E11+K11-G11-H11</f>
        <v/>
      </c>
      <c r="AL11" s="5">
        <f>IF(AK11=D11+E11+K11-G11-H11,"平衡","不平衡")</f>
        <v/>
      </c>
      <c r="AM11" s="5">
        <f>IF(Z11=Y11,"一致","不一致")</f>
        <v/>
      </c>
    </row>
    <row r="12">
      <c r="A12" s="4" t="inlineStr">
        <is>
          <t>7月</t>
        </is>
      </c>
      <c r="B12" s="17">
        <f>C11</f>
        <v/>
      </c>
      <c r="C12" s="17" t="n">
        <v>1005</v>
      </c>
      <c r="D12" s="17">
        <f>AK11</f>
        <v/>
      </c>
      <c r="E12" s="5" t="n">
        <v>26</v>
      </c>
      <c r="F12" s="5" t="n">
        <v>0</v>
      </c>
      <c r="G12" s="5" t="n">
        <v>28</v>
      </c>
      <c r="H12" s="5" t="n">
        <v>5</v>
      </c>
      <c r="I12" s="5" t="n">
        <v>850</v>
      </c>
      <c r="J12" s="5" t="n">
        <v>155</v>
      </c>
      <c r="K12" s="5" t="n">
        <v>85</v>
      </c>
      <c r="L12" s="5" t="n">
        <v>81</v>
      </c>
      <c r="M12" s="18" t="n">
        <v>880000</v>
      </c>
      <c r="N12" s="18" t="n">
        <v>866800</v>
      </c>
      <c r="O12" s="19" t="n">
        <v>0.0382</v>
      </c>
      <c r="P12" s="19" t="n">
        <v>0.0325</v>
      </c>
      <c r="Q12" s="20" t="n">
        <v>24</v>
      </c>
      <c r="R12" s="20" t="n">
        <v>6.5</v>
      </c>
      <c r="S12" s="5" t="n">
        <v>108</v>
      </c>
      <c r="T12" s="5" t="n">
        <v>42</v>
      </c>
      <c r="U12" s="20" t="n">
        <v>22</v>
      </c>
      <c r="V12" s="18" t="n">
        <v>579700</v>
      </c>
      <c r="W12" s="5" t="n">
        <v>62</v>
      </c>
      <c r="X12" s="5" t="n">
        <v>62</v>
      </c>
      <c r="Y12" s="5" t="n">
        <v>5</v>
      </c>
      <c r="Z12" s="5" t="n">
        <v>5</v>
      </c>
      <c r="AA12" s="5" t="n">
        <v>1005</v>
      </c>
      <c r="AB12" s="5" t="n">
        <v>31</v>
      </c>
      <c r="AC12" s="5" t="n">
        <v>20</v>
      </c>
      <c r="AD12" s="5" t="n">
        <v>32</v>
      </c>
      <c r="AE12" s="18" t="n">
        <v>898535</v>
      </c>
      <c r="AF12" s="18" t="n">
        <v>840565</v>
      </c>
      <c r="AG12" s="18" t="n">
        <v>115000</v>
      </c>
      <c r="AH12" s="18" t="n">
        <v>650000</v>
      </c>
      <c r="AI12" s="20" t="n">
        <v>3.98</v>
      </c>
      <c r="AJ12" s="18" t="n">
        <v>336000</v>
      </c>
      <c r="AK12" s="17">
        <f>D12+E12+K12-G12-H12</f>
        <v/>
      </c>
      <c r="AL12" s="5">
        <f>IF(AK12=D12+E12+K12-G12-H12,"平衡","不平衡")</f>
        <v/>
      </c>
      <c r="AM12" s="5">
        <f>IF(Z12=Y12,"一致","不一致")</f>
        <v/>
      </c>
    </row>
    <row r="13">
      <c r="A13" s="4" t="inlineStr">
        <is>
          <t>8月</t>
        </is>
      </c>
      <c r="B13" s="17">
        <f>C12</f>
        <v/>
      </c>
      <c r="C13" s="17" t="n">
        <v>1008</v>
      </c>
      <c r="D13" s="17">
        <f>AK12</f>
        <v/>
      </c>
      <c r="E13" s="5" t="n">
        <v>28</v>
      </c>
      <c r="F13" s="5" t="n">
        <v>0</v>
      </c>
      <c r="G13" s="5" t="n">
        <v>24</v>
      </c>
      <c r="H13" s="5" t="n">
        <v>6</v>
      </c>
      <c r="I13" s="5" t="n">
        <v>852</v>
      </c>
      <c r="J13" s="5" t="n">
        <v>156</v>
      </c>
      <c r="K13" s="5" t="n">
        <v>83</v>
      </c>
      <c r="L13" s="5" t="n">
        <v>79</v>
      </c>
      <c r="M13" s="18" t="n">
        <v>890000</v>
      </c>
      <c r="N13" s="18" t="n">
        <v>876650</v>
      </c>
      <c r="O13" s="19" t="n">
        <v>0.0385</v>
      </c>
      <c r="P13" s="19" t="n">
        <v>0.0328</v>
      </c>
      <c r="Q13" s="20" t="n">
        <v>19.8</v>
      </c>
      <c r="R13" s="20" t="n">
        <v>5.9</v>
      </c>
      <c r="S13" s="5" t="n">
        <v>105</v>
      </c>
      <c r="T13" s="5" t="n">
        <v>41</v>
      </c>
      <c r="U13" s="20" t="n">
        <v>22.5</v>
      </c>
      <c r="V13" s="18" t="n">
        <v>594270</v>
      </c>
      <c r="W13" s="5" t="n">
        <v>62</v>
      </c>
      <c r="X13" s="5" t="n">
        <v>62</v>
      </c>
      <c r="Y13" s="5" t="n">
        <v>6</v>
      </c>
      <c r="Z13" s="5" t="n">
        <v>6</v>
      </c>
      <c r="AA13" s="5" t="n">
        <v>1008</v>
      </c>
      <c r="AB13" s="5" t="n">
        <v>31</v>
      </c>
      <c r="AC13" s="5" t="n">
        <v>22</v>
      </c>
      <c r="AD13" s="5" t="n">
        <v>26</v>
      </c>
      <c r="AE13" s="18" t="n">
        <v>921118</v>
      </c>
      <c r="AF13" s="18" t="n">
        <v>861692</v>
      </c>
      <c r="AG13" s="18" t="n">
        <v>105000</v>
      </c>
      <c r="AH13" s="18" t="n">
        <v>650000</v>
      </c>
      <c r="AI13" s="20" t="n">
        <v>4.02</v>
      </c>
      <c r="AJ13" s="18" t="n">
        <v>288000</v>
      </c>
      <c r="AK13" s="17">
        <f>D13+E13+K13-G13-H13</f>
        <v/>
      </c>
      <c r="AL13" s="5">
        <f>IF(AK13=D13+E13+K13-G13-H13,"平衡","不平衡")</f>
        <v/>
      </c>
      <c r="AM13" s="5">
        <f>IF(Z13=Y13,"一致","不一致")</f>
        <v/>
      </c>
    </row>
    <row r="14">
      <c r="A14" s="4" t="inlineStr">
        <is>
          <t>9月</t>
        </is>
      </c>
      <c r="B14" s="17">
        <f>C13</f>
        <v/>
      </c>
      <c r="C14" s="17" t="n">
        <v>1012</v>
      </c>
      <c r="D14" s="17">
        <f>AK13</f>
        <v/>
      </c>
      <c r="E14" s="5" t="n">
        <v>30</v>
      </c>
      <c r="F14" s="5" t="n">
        <v>0</v>
      </c>
      <c r="G14" s="5" t="n">
        <v>25</v>
      </c>
      <c r="H14" s="5" t="n">
        <v>5</v>
      </c>
      <c r="I14" s="5" t="n">
        <v>858</v>
      </c>
      <c r="J14" s="5" t="n">
        <v>154</v>
      </c>
      <c r="K14" s="5" t="n">
        <v>89</v>
      </c>
      <c r="L14" s="5" t="n">
        <v>85</v>
      </c>
      <c r="M14" s="18" t="n">
        <v>930000</v>
      </c>
      <c r="N14" s="18" t="n">
        <v>916050</v>
      </c>
      <c r="O14" s="19" t="n">
        <v>0.0392</v>
      </c>
      <c r="P14" s="19" t="n">
        <v>0.0332</v>
      </c>
      <c r="Q14" s="20" t="n">
        <v>17.5</v>
      </c>
      <c r="R14" s="20" t="n">
        <v>5</v>
      </c>
      <c r="S14" s="5" t="n">
        <v>112</v>
      </c>
      <c r="T14" s="5" t="n">
        <v>46</v>
      </c>
      <c r="U14" s="20" t="n">
        <v>23.8</v>
      </c>
      <c r="V14" s="18" t="n">
        <v>612612</v>
      </c>
      <c r="W14" s="5" t="n">
        <v>60</v>
      </c>
      <c r="X14" s="5" t="n">
        <v>60</v>
      </c>
      <c r="Y14" s="5" t="n">
        <v>5</v>
      </c>
      <c r="Z14" s="5" t="n">
        <v>5</v>
      </c>
      <c r="AA14" s="5" t="n">
        <v>1012</v>
      </c>
      <c r="AB14" s="5" t="n">
        <v>30</v>
      </c>
      <c r="AC14" s="5" t="n">
        <v>28</v>
      </c>
      <c r="AD14" s="5" t="n">
        <v>20</v>
      </c>
      <c r="AE14" s="18" t="n">
        <v>949549</v>
      </c>
      <c r="AF14" s="18" t="n">
        <v>888287</v>
      </c>
      <c r="AG14" s="18" t="n">
        <v>90000</v>
      </c>
      <c r="AH14" s="18" t="n">
        <v>650000</v>
      </c>
      <c r="AI14" s="20" t="n">
        <v>4.06</v>
      </c>
      <c r="AJ14" s="18" t="n">
        <v>300000</v>
      </c>
      <c r="AK14" s="17">
        <f>D14+E14+K14-G14-H14</f>
        <v/>
      </c>
      <c r="AL14" s="5">
        <f>IF(AK14=D14+E14+K14-G14-H14,"平衡","不平衡")</f>
        <v/>
      </c>
      <c r="AM14" s="5">
        <f>IF(Z14=Y14,"一致","不一致")</f>
        <v/>
      </c>
    </row>
    <row r="15">
      <c r="A15" s="4" t="inlineStr">
        <is>
          <t>10月</t>
        </is>
      </c>
      <c r="B15" s="17">
        <f>C14</f>
        <v/>
      </c>
      <c r="C15" s="17" t="n">
        <v>1015</v>
      </c>
      <c r="D15" s="17">
        <f>AK14</f>
        <v/>
      </c>
      <c r="E15" s="5" t="n">
        <v>31</v>
      </c>
      <c r="F15" s="5" t="n">
        <v>0</v>
      </c>
      <c r="G15" s="5" t="n">
        <v>27</v>
      </c>
      <c r="H15" s="5" t="n">
        <v>5</v>
      </c>
      <c r="I15" s="5" t="n">
        <v>862</v>
      </c>
      <c r="J15" s="5" t="n">
        <v>153</v>
      </c>
      <c r="K15" s="5" t="n">
        <v>87</v>
      </c>
      <c r="L15" s="5" t="n">
        <v>83</v>
      </c>
      <c r="M15" s="18" t="n">
        <v>950000</v>
      </c>
      <c r="N15" s="18" t="n">
        <v>935750</v>
      </c>
      <c r="O15" s="19" t="n">
        <v>0.0398</v>
      </c>
      <c r="P15" s="19" t="n">
        <v>0.0336</v>
      </c>
      <c r="Q15" s="20" t="n">
        <v>16</v>
      </c>
      <c r="R15" s="20" t="n">
        <v>4.5</v>
      </c>
      <c r="S15" s="5" t="n">
        <v>110</v>
      </c>
      <c r="T15" s="5" t="n">
        <v>45</v>
      </c>
      <c r="U15" s="20" t="n">
        <v>24.6</v>
      </c>
      <c r="V15" s="18" t="n">
        <v>657361</v>
      </c>
      <c r="W15" s="5" t="n">
        <v>62</v>
      </c>
      <c r="X15" s="5" t="n">
        <v>62</v>
      </c>
      <c r="Y15" s="5" t="n">
        <v>5</v>
      </c>
      <c r="Z15" s="5" t="n">
        <v>5</v>
      </c>
      <c r="AA15" s="5" t="n">
        <v>1015</v>
      </c>
      <c r="AB15" s="5" t="n">
        <v>31</v>
      </c>
      <c r="AC15" s="5" t="n">
        <v>31</v>
      </c>
      <c r="AD15" s="5" t="n">
        <v>17</v>
      </c>
      <c r="AE15" s="18" t="n">
        <v>1018910</v>
      </c>
      <c r="AF15" s="18" t="n">
        <v>953173</v>
      </c>
      <c r="AG15" s="18" t="n">
        <v>85000</v>
      </c>
      <c r="AH15" s="18" t="n">
        <v>650000</v>
      </c>
      <c r="AI15" s="20" t="n">
        <v>4.1</v>
      </c>
      <c r="AJ15" s="18" t="n">
        <v>324000</v>
      </c>
      <c r="AK15" s="17">
        <f>D15+E15+K15-G15-H15</f>
        <v/>
      </c>
      <c r="AL15" s="5">
        <f>IF(AK15=D15+E15+K15-G15-H15,"平衡","不平衡")</f>
        <v/>
      </c>
      <c r="AM15" s="5">
        <f>IF(Z15=Y15,"一致","不一致")</f>
        <v/>
      </c>
    </row>
    <row r="16">
      <c r="A16" s="4" t="inlineStr">
        <is>
          <t>11月</t>
        </is>
      </c>
      <c r="B16" s="17">
        <f>C15</f>
        <v/>
      </c>
      <c r="C16" s="17" t="n">
        <v>1018</v>
      </c>
      <c r="D16" s="17">
        <f>AK15</f>
        <v/>
      </c>
      <c r="E16" s="5" t="n">
        <v>29</v>
      </c>
      <c r="F16" s="5" t="n">
        <v>0</v>
      </c>
      <c r="G16" s="5" t="n">
        <v>25</v>
      </c>
      <c r="H16" s="5" t="n">
        <v>4</v>
      </c>
      <c r="I16" s="5" t="n">
        <v>865</v>
      </c>
      <c r="J16" s="5" t="n">
        <v>153</v>
      </c>
      <c r="K16" s="5" t="n">
        <v>85</v>
      </c>
      <c r="L16" s="5" t="n">
        <v>81</v>
      </c>
      <c r="M16" s="18" t="n">
        <v>940000</v>
      </c>
      <c r="N16" s="18" t="n">
        <v>925900</v>
      </c>
      <c r="O16" s="19" t="n">
        <v>0.0402</v>
      </c>
      <c r="P16" s="19" t="n">
        <v>0.034</v>
      </c>
      <c r="Q16" s="20" t="n">
        <v>15.2</v>
      </c>
      <c r="R16" s="20" t="n">
        <v>4</v>
      </c>
      <c r="S16" s="5" t="n">
        <v>108</v>
      </c>
      <c r="T16" s="5" t="n">
        <v>44</v>
      </c>
      <c r="U16" s="20" t="n">
        <v>25.2</v>
      </c>
      <c r="V16" s="18" t="n">
        <v>653940</v>
      </c>
      <c r="W16" s="5" t="n">
        <v>60</v>
      </c>
      <c r="X16" s="5" t="n">
        <v>60</v>
      </c>
      <c r="Y16" s="5" t="n">
        <v>4</v>
      </c>
      <c r="Z16" s="5" t="n">
        <v>4</v>
      </c>
      <c r="AA16" s="5" t="n">
        <v>1018</v>
      </c>
      <c r="AB16" s="5" t="n">
        <v>30</v>
      </c>
      <c r="AC16" s="5" t="n">
        <v>30</v>
      </c>
      <c r="AD16" s="5" t="n">
        <v>15</v>
      </c>
      <c r="AE16" s="18" t="n">
        <v>1013607</v>
      </c>
      <c r="AF16" s="18" t="n">
        <v>948213</v>
      </c>
      <c r="AG16" s="18" t="n">
        <v>82000</v>
      </c>
      <c r="AH16" s="18" t="n">
        <v>650000</v>
      </c>
      <c r="AI16" s="20" t="n">
        <v>4.15</v>
      </c>
      <c r="AJ16" s="18" t="n">
        <v>300000</v>
      </c>
      <c r="AK16" s="17">
        <f>D16+E16+K16-G16-H16</f>
        <v/>
      </c>
      <c r="AL16" s="5">
        <f>IF(AK16=D16+E16+K16-G16-H16,"平衡","不平衡")</f>
        <v/>
      </c>
      <c r="AM16" s="5">
        <f>IF(Z16=Y16,"一致","不一致")</f>
        <v/>
      </c>
    </row>
    <row r="17">
      <c r="A17" s="4" t="inlineStr">
        <is>
          <t>12月</t>
        </is>
      </c>
      <c r="B17" s="17">
        <f>C16</f>
        <v/>
      </c>
      <c r="C17" s="17" t="n">
        <v>1020</v>
      </c>
      <c r="D17" s="17">
        <f>AK16</f>
        <v/>
      </c>
      <c r="E17" s="5" t="n">
        <v>32</v>
      </c>
      <c r="F17" s="5" t="n">
        <v>0</v>
      </c>
      <c r="G17" s="5" t="n">
        <v>28</v>
      </c>
      <c r="H17" s="5" t="n">
        <v>5</v>
      </c>
      <c r="I17" s="5" t="n">
        <v>868</v>
      </c>
      <c r="J17" s="5" t="n">
        <v>152</v>
      </c>
      <c r="K17" s="5" t="n">
        <v>90</v>
      </c>
      <c r="L17" s="5" t="n">
        <v>86</v>
      </c>
      <c r="M17" s="18" t="n">
        <v>970000</v>
      </c>
      <c r="N17" s="18" t="n">
        <v>955450</v>
      </c>
      <c r="O17" s="19" t="n">
        <v>0.0408</v>
      </c>
      <c r="P17" s="19" t="n">
        <v>0.0345</v>
      </c>
      <c r="Q17" s="20" t="n">
        <v>14.8</v>
      </c>
      <c r="R17" s="20" t="n">
        <v>3.8</v>
      </c>
      <c r="S17" s="5" t="n">
        <v>115</v>
      </c>
      <c r="T17" s="5" t="n">
        <v>48</v>
      </c>
      <c r="U17" s="20" t="n">
        <v>25.5</v>
      </c>
      <c r="V17" s="18" t="n">
        <v>686154</v>
      </c>
      <c r="W17" s="5" t="n">
        <v>62</v>
      </c>
      <c r="X17" s="5" t="n">
        <v>62</v>
      </c>
      <c r="Y17" s="5" t="n">
        <v>5</v>
      </c>
      <c r="Z17" s="5" t="n">
        <v>5</v>
      </c>
      <c r="AA17" s="5" t="n">
        <v>1020</v>
      </c>
      <c r="AB17" s="5" t="n">
        <v>31</v>
      </c>
      <c r="AC17" s="5" t="n">
        <v>31</v>
      </c>
      <c r="AD17" s="5" t="n">
        <v>14</v>
      </c>
      <c r="AE17" s="18" t="n">
        <v>1063539</v>
      </c>
      <c r="AF17" s="18" t="n">
        <v>994923</v>
      </c>
      <c r="AG17" s="18" t="n">
        <v>80000</v>
      </c>
      <c r="AH17" s="18" t="n">
        <v>650000</v>
      </c>
      <c r="AI17" s="20" t="n">
        <v>4.2</v>
      </c>
      <c r="AJ17" s="18" t="n">
        <v>336000</v>
      </c>
      <c r="AK17" s="17">
        <f>D17+E17+K17-G17-H17</f>
        <v/>
      </c>
      <c r="AL17" s="5">
        <f>IF(AK17=D17+E17+K17-G17-H17,"平衡","不平衡")</f>
        <v/>
      </c>
      <c r="AM17" s="5">
        <f>IF(Z17=Y17,"一致","不一致")</f>
        <v/>
      </c>
    </row>
  </sheetData>
  <mergeCells count="2">
    <mergeCell ref="A2:AM2"/>
    <mergeCell ref="A1:AM1"/>
  </mergeCells>
  <conditionalFormatting sqref="AL6:AL17">
    <cfRule type="cellIs" priority="1" operator="equal" dxfId="1">
      <formula>"平衡"</formula>
    </cfRule>
  </conditionalFormatting>
  <conditionalFormatting sqref="AM6:AM17">
    <cfRule type="cellIs" priority="2" operator="equal" dxfId="1">
      <formula>"一致"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1" customWidth="1" min="13" max="13"/>
    <col width="11" customWidth="1" min="14" max="14"/>
    <col width="11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6" t="inlineStr">
        <is>
          <t>④ 月度奶牛核心指标计算（公式引用③录入区，实时动态演算）</t>
        </is>
      </c>
    </row>
    <row r="2" ht="28" customHeight="1">
      <c r="A2" s="2" t="inlineStr">
        <is>
          <t>全部指标由公式自动重算；红底单元格标示触发行业预警（体细胞数SCC&gt;20万/mL、成母牛死亡率&gt;0.8%等）。</t>
        </is>
      </c>
    </row>
    <row r="3">
      <c r="A3" s="3" t="inlineStr">
        <is>
          <t>月份</t>
        </is>
      </c>
      <c r="B3" s="3" t="inlineStr">
        <is>
          <t>平均成母牛</t>
        </is>
      </c>
      <c r="C3" s="3" t="inlineStr">
        <is>
          <t>平均泌乳牛</t>
        </is>
      </c>
      <c r="D3" s="3" t="inlineStr">
        <is>
          <t>泌乳牛比例</t>
        </is>
      </c>
      <c r="E3" s="3" t="inlineStr">
        <is>
          <t>月总产奶(吨)</t>
        </is>
      </c>
      <c r="F3" s="3" t="inlineStr">
        <is>
          <t>泌乳牛日均单产(kg)</t>
        </is>
      </c>
      <c r="G3" s="3" t="inlineStr">
        <is>
          <t>生鲜牛乳脂率</t>
        </is>
      </c>
      <c r="H3" s="3" t="inlineStr">
        <is>
          <t>体细胞数(万/mL)</t>
        </is>
      </c>
      <c r="I3" s="3" t="inlineStr">
        <is>
          <t>情期受胎率</t>
        </is>
      </c>
      <c r="J3" s="3" t="inlineStr">
        <is>
          <t>料奶比(FMR)</t>
        </is>
      </c>
      <c r="K3" s="3" t="inlineStr">
        <is>
          <t>犊牛成活率</t>
        </is>
      </c>
      <c r="L3" s="3" t="inlineStr">
        <is>
          <t>临床乳房炎发病率</t>
        </is>
      </c>
      <c r="M3" s="3" t="inlineStr">
        <is>
          <t>成母牛月死亡率</t>
        </is>
      </c>
      <c r="N3" s="3" t="inlineStr">
        <is>
          <t>休药期合规率</t>
        </is>
      </c>
      <c r="O3" s="3" t="inlineStr">
        <is>
          <t>无害化处理率</t>
        </is>
      </c>
      <c r="P3" s="3" t="inlineStr">
        <is>
          <t>公斤奶总成本(元)</t>
        </is>
      </c>
      <c r="Q3" s="3" t="inlineStr">
        <is>
          <t>公斤奶饲料成本(元)</t>
        </is>
      </c>
      <c r="R3" s="3" t="inlineStr">
        <is>
          <t>公斤奶净盈利(元)</t>
        </is>
      </c>
      <c r="S3" s="3" t="inlineStr">
        <is>
          <t>月度头均利润(元)</t>
        </is>
      </c>
    </row>
    <row r="6">
      <c r="A6" s="4">
        <f>'③演算-数据录入'!A6</f>
        <v/>
      </c>
      <c r="B6" s="5">
        <f>('③演算-数据录入'!B6+'③演算-数据录入'!C6)/2</f>
        <v/>
      </c>
      <c r="C6" s="5">
        <f>'③演算-数据录入'!I6</f>
        <v/>
      </c>
      <c r="D6" s="10">
        <f>C6/B6</f>
        <v/>
      </c>
      <c r="E6" s="5">
        <f>'③演算-数据录入'!M6/1000</f>
        <v/>
      </c>
      <c r="F6" s="21">
        <f>'③演算-数据录入'!M6/C6/'③演算-数据录入'!AB6</f>
        <v/>
      </c>
      <c r="G6" s="10">
        <f>'③演算-数据录入'!O6</f>
        <v/>
      </c>
      <c r="H6" s="21">
        <f>'③演算-数据录入'!Q6</f>
        <v/>
      </c>
      <c r="I6" s="10">
        <f>'③演算-数据录入'!T6/'③演算-数据录入'!S6</f>
        <v/>
      </c>
      <c r="J6" s="20">
        <f>'③演算-数据录入'!V6/'③演算-数据录入'!M6</f>
        <v/>
      </c>
      <c r="K6" s="10">
        <f>'③演算-数据录入'!L6/'③演算-数据录入'!K6</f>
        <v/>
      </c>
      <c r="L6" s="10">
        <f>'③演算-数据录入'!AD6/C6</f>
        <v/>
      </c>
      <c r="M6" s="10">
        <f>'③演算-数据录入'!H6/B6</f>
        <v/>
      </c>
      <c r="N6" s="10">
        <f>'③演算-数据录入'!X6/'③演算-数据录入'!W6</f>
        <v/>
      </c>
      <c r="O6" s="10">
        <f>'③演算-数据录入'!Z6/'③演算-数据录入'!Y6</f>
        <v/>
      </c>
      <c r="P6" s="20">
        <f>('③演算-数据录入'!AE6+'③演算-数据录入'!AF6+'③演算-数据录入'!AG6+'③演算-数据录入'!AH6)/'③演算-数据录入'!M6</f>
        <v/>
      </c>
      <c r="Q6" s="20">
        <f>('③演算-数据录入'!AE6+'③演算-数据录入'!AF6)/'③演算-数据录入'!M6</f>
        <v/>
      </c>
      <c r="R6" s="20">
        <f>'③演算-数据录入'!AI6-P6</f>
        <v/>
      </c>
      <c r="S6" s="18">
        <f>R6*'③演算-数据录入'!M6/B6</f>
        <v/>
      </c>
    </row>
    <row r="7">
      <c r="A7" s="4">
        <f>'③演算-数据录入'!A7</f>
        <v/>
      </c>
      <c r="B7" s="5">
        <f>('③演算-数据录入'!B7+'③演算-数据录入'!C7)/2</f>
        <v/>
      </c>
      <c r="C7" s="5">
        <f>'③演算-数据录入'!I7</f>
        <v/>
      </c>
      <c r="D7" s="10">
        <f>C7/B7</f>
        <v/>
      </c>
      <c r="E7" s="5">
        <f>'③演算-数据录入'!M7/1000</f>
        <v/>
      </c>
      <c r="F7" s="21">
        <f>'③演算-数据录入'!M7/C7/'③演算-数据录入'!AB7</f>
        <v/>
      </c>
      <c r="G7" s="10">
        <f>'③演算-数据录入'!O7</f>
        <v/>
      </c>
      <c r="H7" s="21">
        <f>'③演算-数据录入'!Q7</f>
        <v/>
      </c>
      <c r="I7" s="10">
        <f>'③演算-数据录入'!T7/'③演算-数据录入'!S7</f>
        <v/>
      </c>
      <c r="J7" s="20">
        <f>'③演算-数据录入'!V7/'③演算-数据录入'!M7</f>
        <v/>
      </c>
      <c r="K7" s="10">
        <f>'③演算-数据录入'!L7/'③演算-数据录入'!K7</f>
        <v/>
      </c>
      <c r="L7" s="10">
        <f>'③演算-数据录入'!AD7/C7</f>
        <v/>
      </c>
      <c r="M7" s="10">
        <f>'③演算-数据录入'!H7/B7</f>
        <v/>
      </c>
      <c r="N7" s="10">
        <f>'③演算-数据录入'!X7/'③演算-数据录入'!W7</f>
        <v/>
      </c>
      <c r="O7" s="10">
        <f>'③演算-数据录入'!Z7/'③演算-数据录入'!Y7</f>
        <v/>
      </c>
      <c r="P7" s="20">
        <f>('③演算-数据录入'!AE7+'③演算-数据录入'!AF7+'③演算-数据录入'!AG7+'③演算-数据录入'!AH7)/'③演算-数据录入'!M7</f>
        <v/>
      </c>
      <c r="Q7" s="20">
        <f>('③演算-数据录入'!AE7+'③演算-数据录入'!AF7)/'③演算-数据录入'!M7</f>
        <v/>
      </c>
      <c r="R7" s="20">
        <f>'③演算-数据录入'!AI7-P7</f>
        <v/>
      </c>
      <c r="S7" s="18">
        <f>R7*'③演算-数据录入'!M7/B7</f>
        <v/>
      </c>
    </row>
    <row r="8">
      <c r="A8" s="4">
        <f>'③演算-数据录入'!A8</f>
        <v/>
      </c>
      <c r="B8" s="5">
        <f>('③演算-数据录入'!B8+'③演算-数据录入'!C8)/2</f>
        <v/>
      </c>
      <c r="C8" s="5">
        <f>'③演算-数据录入'!I8</f>
        <v/>
      </c>
      <c r="D8" s="10">
        <f>C8/B8</f>
        <v/>
      </c>
      <c r="E8" s="5">
        <f>'③演算-数据录入'!M8/1000</f>
        <v/>
      </c>
      <c r="F8" s="21">
        <f>'③演算-数据录入'!M8/C8/'③演算-数据录入'!AB8</f>
        <v/>
      </c>
      <c r="G8" s="10">
        <f>'③演算-数据录入'!O8</f>
        <v/>
      </c>
      <c r="H8" s="21">
        <f>'③演算-数据录入'!Q8</f>
        <v/>
      </c>
      <c r="I8" s="10">
        <f>'③演算-数据录入'!T8/'③演算-数据录入'!S8</f>
        <v/>
      </c>
      <c r="J8" s="20">
        <f>'③演算-数据录入'!V8/'③演算-数据录入'!M8</f>
        <v/>
      </c>
      <c r="K8" s="10">
        <f>'③演算-数据录入'!L8/'③演算-数据录入'!K8</f>
        <v/>
      </c>
      <c r="L8" s="10">
        <f>'③演算-数据录入'!AD8/C8</f>
        <v/>
      </c>
      <c r="M8" s="10">
        <f>'③演算-数据录入'!H8/B8</f>
        <v/>
      </c>
      <c r="N8" s="10">
        <f>'③演算-数据录入'!X8/'③演算-数据录入'!W8</f>
        <v/>
      </c>
      <c r="O8" s="10">
        <f>'③演算-数据录入'!Z8/'③演算-数据录入'!Y8</f>
        <v/>
      </c>
      <c r="P8" s="20">
        <f>('③演算-数据录入'!AE8+'③演算-数据录入'!AF8+'③演算-数据录入'!AG8+'③演算-数据录入'!AH8)/'③演算-数据录入'!M8</f>
        <v/>
      </c>
      <c r="Q8" s="20">
        <f>('③演算-数据录入'!AE8+'③演算-数据录入'!AF8)/'③演算-数据录入'!M8</f>
        <v/>
      </c>
      <c r="R8" s="20">
        <f>'③演算-数据录入'!AI8-P8</f>
        <v/>
      </c>
      <c r="S8" s="18">
        <f>R8*'③演算-数据录入'!M8/B8</f>
        <v/>
      </c>
    </row>
    <row r="9">
      <c r="A9" s="4">
        <f>'③演算-数据录入'!A9</f>
        <v/>
      </c>
      <c r="B9" s="5">
        <f>('③演算-数据录入'!B9+'③演算-数据录入'!C9)/2</f>
        <v/>
      </c>
      <c r="C9" s="5">
        <f>'③演算-数据录入'!I9</f>
        <v/>
      </c>
      <c r="D9" s="10">
        <f>C9/B9</f>
        <v/>
      </c>
      <c r="E9" s="5">
        <f>'③演算-数据录入'!M9/1000</f>
        <v/>
      </c>
      <c r="F9" s="21">
        <f>'③演算-数据录入'!M9/C9/'③演算-数据录入'!AB9</f>
        <v/>
      </c>
      <c r="G9" s="10">
        <f>'③演算-数据录入'!O9</f>
        <v/>
      </c>
      <c r="H9" s="21">
        <f>'③演算-数据录入'!Q9</f>
        <v/>
      </c>
      <c r="I9" s="10">
        <f>'③演算-数据录入'!T9/'③演算-数据录入'!S9</f>
        <v/>
      </c>
      <c r="J9" s="20">
        <f>'③演算-数据录入'!V9/'③演算-数据录入'!M9</f>
        <v/>
      </c>
      <c r="K9" s="10">
        <f>'③演算-数据录入'!L9/'③演算-数据录入'!K9</f>
        <v/>
      </c>
      <c r="L9" s="10">
        <f>'③演算-数据录入'!AD9/C9</f>
        <v/>
      </c>
      <c r="M9" s="10">
        <f>'③演算-数据录入'!H9/B9</f>
        <v/>
      </c>
      <c r="N9" s="10">
        <f>'③演算-数据录入'!X9/'③演算-数据录入'!W9</f>
        <v/>
      </c>
      <c r="O9" s="10">
        <f>'③演算-数据录入'!Z9/'③演算-数据录入'!Y9</f>
        <v/>
      </c>
      <c r="P9" s="20">
        <f>('③演算-数据录入'!AE9+'③演算-数据录入'!AF9+'③演算-数据录入'!AG9+'③演算-数据录入'!AH9)/'③演算-数据录入'!M9</f>
        <v/>
      </c>
      <c r="Q9" s="20">
        <f>('③演算-数据录入'!AE9+'③演算-数据录入'!AF9)/'③演算-数据录入'!M9</f>
        <v/>
      </c>
      <c r="R9" s="20">
        <f>'③演算-数据录入'!AI9-P9</f>
        <v/>
      </c>
      <c r="S9" s="18">
        <f>R9*'③演算-数据录入'!M9/B9</f>
        <v/>
      </c>
    </row>
    <row r="10">
      <c r="A10" s="4">
        <f>'③演算-数据录入'!A10</f>
        <v/>
      </c>
      <c r="B10" s="5">
        <f>('③演算-数据录入'!B10+'③演算-数据录入'!C10)/2</f>
        <v/>
      </c>
      <c r="C10" s="5">
        <f>'③演算-数据录入'!I10</f>
        <v/>
      </c>
      <c r="D10" s="10">
        <f>C10/B10</f>
        <v/>
      </c>
      <c r="E10" s="5">
        <f>'③演算-数据录入'!M10/1000</f>
        <v/>
      </c>
      <c r="F10" s="21">
        <f>'③演算-数据录入'!M10/C10/'③演算-数据录入'!AB10</f>
        <v/>
      </c>
      <c r="G10" s="10">
        <f>'③演算-数据录入'!O10</f>
        <v/>
      </c>
      <c r="H10" s="21">
        <f>'③演算-数据录入'!Q10</f>
        <v/>
      </c>
      <c r="I10" s="10">
        <f>'③演算-数据录入'!T10/'③演算-数据录入'!S10</f>
        <v/>
      </c>
      <c r="J10" s="20">
        <f>'③演算-数据录入'!V10/'③演算-数据录入'!M10</f>
        <v/>
      </c>
      <c r="K10" s="10">
        <f>'③演算-数据录入'!L10/'③演算-数据录入'!K10</f>
        <v/>
      </c>
      <c r="L10" s="10">
        <f>'③演算-数据录入'!AD10/C10</f>
        <v/>
      </c>
      <c r="M10" s="10">
        <f>'③演算-数据录入'!H10/B10</f>
        <v/>
      </c>
      <c r="N10" s="10">
        <f>'③演算-数据录入'!X10/'③演算-数据录入'!W10</f>
        <v/>
      </c>
      <c r="O10" s="10">
        <f>'③演算-数据录入'!Z10/'③演算-数据录入'!Y10</f>
        <v/>
      </c>
      <c r="P10" s="20">
        <f>('③演算-数据录入'!AE10+'③演算-数据录入'!AF10+'③演算-数据录入'!AG10+'③演算-数据录入'!AH10)/'③演算-数据录入'!M10</f>
        <v/>
      </c>
      <c r="Q10" s="20">
        <f>('③演算-数据录入'!AE10+'③演算-数据录入'!AF10)/'③演算-数据录入'!M10</f>
        <v/>
      </c>
      <c r="R10" s="20">
        <f>'③演算-数据录入'!AI10-P10</f>
        <v/>
      </c>
      <c r="S10" s="18">
        <f>R10*'③演算-数据录入'!M10/B10</f>
        <v/>
      </c>
    </row>
    <row r="11">
      <c r="A11" s="4">
        <f>'③演算-数据录入'!A11</f>
        <v/>
      </c>
      <c r="B11" s="5">
        <f>('③演算-数据录入'!B11+'③演算-数据录入'!C11)/2</f>
        <v/>
      </c>
      <c r="C11" s="5">
        <f>'③演算-数据录入'!I11</f>
        <v/>
      </c>
      <c r="D11" s="10">
        <f>C11/B11</f>
        <v/>
      </c>
      <c r="E11" s="5">
        <f>'③演算-数据录入'!M11/1000</f>
        <v/>
      </c>
      <c r="F11" s="21">
        <f>'③演算-数据录入'!M11/C11/'③演算-数据录入'!AB11</f>
        <v/>
      </c>
      <c r="G11" s="10">
        <f>'③演算-数据录入'!O11</f>
        <v/>
      </c>
      <c r="H11" s="21">
        <f>'③演算-数据录入'!Q11</f>
        <v/>
      </c>
      <c r="I11" s="10">
        <f>'③演算-数据录入'!T11/'③演算-数据录入'!S11</f>
        <v/>
      </c>
      <c r="J11" s="20">
        <f>'③演算-数据录入'!V11/'③演算-数据录入'!M11</f>
        <v/>
      </c>
      <c r="K11" s="10">
        <f>'③演算-数据录入'!L11/'③演算-数据录入'!K11</f>
        <v/>
      </c>
      <c r="L11" s="10">
        <f>'③演算-数据录入'!AD11/C11</f>
        <v/>
      </c>
      <c r="M11" s="10">
        <f>'③演算-数据录入'!H11/B11</f>
        <v/>
      </c>
      <c r="N11" s="10">
        <f>'③演算-数据录入'!X11/'③演算-数据录入'!W11</f>
        <v/>
      </c>
      <c r="O11" s="10">
        <f>'③演算-数据录入'!Z11/'③演算-数据录入'!Y11</f>
        <v/>
      </c>
      <c r="P11" s="20">
        <f>('③演算-数据录入'!AE11+'③演算-数据录入'!AF11+'③演算-数据录入'!AG11+'③演算-数据录入'!AH11)/'③演算-数据录入'!M11</f>
        <v/>
      </c>
      <c r="Q11" s="20">
        <f>('③演算-数据录入'!AE11+'③演算-数据录入'!AF11)/'③演算-数据录入'!M11</f>
        <v/>
      </c>
      <c r="R11" s="20">
        <f>'③演算-数据录入'!AI11-P11</f>
        <v/>
      </c>
      <c r="S11" s="18">
        <f>R11*'③演算-数据录入'!M11/B11</f>
        <v/>
      </c>
    </row>
    <row r="12">
      <c r="A12" s="4">
        <f>'③演算-数据录入'!A12</f>
        <v/>
      </c>
      <c r="B12" s="5">
        <f>('③演算-数据录入'!B12+'③演算-数据录入'!C12)/2</f>
        <v/>
      </c>
      <c r="C12" s="5">
        <f>'③演算-数据录入'!I12</f>
        <v/>
      </c>
      <c r="D12" s="10">
        <f>C12/B12</f>
        <v/>
      </c>
      <c r="E12" s="5">
        <f>'③演算-数据录入'!M12/1000</f>
        <v/>
      </c>
      <c r="F12" s="21">
        <f>'③演算-数据录入'!M12/C12/'③演算-数据录入'!AB12</f>
        <v/>
      </c>
      <c r="G12" s="10">
        <f>'③演算-数据录入'!O12</f>
        <v/>
      </c>
      <c r="H12" s="21">
        <f>'③演算-数据录入'!Q12</f>
        <v/>
      </c>
      <c r="I12" s="10">
        <f>'③演算-数据录入'!T12/'③演算-数据录入'!S12</f>
        <v/>
      </c>
      <c r="J12" s="20">
        <f>'③演算-数据录入'!V12/'③演算-数据录入'!M12</f>
        <v/>
      </c>
      <c r="K12" s="10">
        <f>'③演算-数据录入'!L12/'③演算-数据录入'!K12</f>
        <v/>
      </c>
      <c r="L12" s="10">
        <f>'③演算-数据录入'!AD12/C12</f>
        <v/>
      </c>
      <c r="M12" s="10">
        <f>'③演算-数据录入'!H12/B12</f>
        <v/>
      </c>
      <c r="N12" s="10">
        <f>'③演算-数据录入'!X12/'③演算-数据录入'!W12</f>
        <v/>
      </c>
      <c r="O12" s="10">
        <f>'③演算-数据录入'!Z12/'③演算-数据录入'!Y12</f>
        <v/>
      </c>
      <c r="P12" s="20">
        <f>('③演算-数据录入'!AE12+'③演算-数据录入'!AF12+'③演算-数据录入'!AG12+'③演算-数据录入'!AH12)/'③演算-数据录入'!M12</f>
        <v/>
      </c>
      <c r="Q12" s="20">
        <f>('③演算-数据录入'!AE12+'③演算-数据录入'!AF12)/'③演算-数据录入'!M12</f>
        <v/>
      </c>
      <c r="R12" s="20">
        <f>'③演算-数据录入'!AI12-P12</f>
        <v/>
      </c>
      <c r="S12" s="18">
        <f>R12*'③演算-数据录入'!M12/B12</f>
        <v/>
      </c>
    </row>
    <row r="13">
      <c r="A13" s="4">
        <f>'③演算-数据录入'!A13</f>
        <v/>
      </c>
      <c r="B13" s="5">
        <f>('③演算-数据录入'!B13+'③演算-数据录入'!C13)/2</f>
        <v/>
      </c>
      <c r="C13" s="5">
        <f>'③演算-数据录入'!I13</f>
        <v/>
      </c>
      <c r="D13" s="10">
        <f>C13/B13</f>
        <v/>
      </c>
      <c r="E13" s="5">
        <f>'③演算-数据录入'!M13/1000</f>
        <v/>
      </c>
      <c r="F13" s="21">
        <f>'③演算-数据录入'!M13/C13/'③演算-数据录入'!AB13</f>
        <v/>
      </c>
      <c r="G13" s="10">
        <f>'③演算-数据录入'!O13</f>
        <v/>
      </c>
      <c r="H13" s="21">
        <f>'③演算-数据录入'!Q13</f>
        <v/>
      </c>
      <c r="I13" s="10">
        <f>'③演算-数据录入'!T13/'③演算-数据录入'!S13</f>
        <v/>
      </c>
      <c r="J13" s="20">
        <f>'③演算-数据录入'!V13/'③演算-数据录入'!M13</f>
        <v/>
      </c>
      <c r="K13" s="10">
        <f>'③演算-数据录入'!L13/'③演算-数据录入'!K13</f>
        <v/>
      </c>
      <c r="L13" s="10">
        <f>'③演算-数据录入'!AD13/C13</f>
        <v/>
      </c>
      <c r="M13" s="10">
        <f>'③演算-数据录入'!H13/B13</f>
        <v/>
      </c>
      <c r="N13" s="10">
        <f>'③演算-数据录入'!X13/'③演算-数据录入'!W13</f>
        <v/>
      </c>
      <c r="O13" s="10">
        <f>'③演算-数据录入'!Z13/'③演算-数据录入'!Y13</f>
        <v/>
      </c>
      <c r="P13" s="20">
        <f>('③演算-数据录入'!AE13+'③演算-数据录入'!AF13+'③演算-数据录入'!AG13+'③演算-数据录入'!AH13)/'③演算-数据录入'!M13</f>
        <v/>
      </c>
      <c r="Q13" s="20">
        <f>('③演算-数据录入'!AE13+'③演算-数据录入'!AF13)/'③演算-数据录入'!M13</f>
        <v/>
      </c>
      <c r="R13" s="20">
        <f>'③演算-数据录入'!AI13-P13</f>
        <v/>
      </c>
      <c r="S13" s="18">
        <f>R13*'③演算-数据录入'!M13/B13</f>
        <v/>
      </c>
    </row>
    <row r="14">
      <c r="A14" s="4">
        <f>'③演算-数据录入'!A14</f>
        <v/>
      </c>
      <c r="B14" s="5">
        <f>('③演算-数据录入'!B14+'③演算-数据录入'!C14)/2</f>
        <v/>
      </c>
      <c r="C14" s="5">
        <f>'③演算-数据录入'!I14</f>
        <v/>
      </c>
      <c r="D14" s="10">
        <f>C14/B14</f>
        <v/>
      </c>
      <c r="E14" s="5">
        <f>'③演算-数据录入'!M14/1000</f>
        <v/>
      </c>
      <c r="F14" s="21">
        <f>'③演算-数据录入'!M14/C14/'③演算-数据录入'!AB14</f>
        <v/>
      </c>
      <c r="G14" s="10">
        <f>'③演算-数据录入'!O14</f>
        <v/>
      </c>
      <c r="H14" s="21">
        <f>'③演算-数据录入'!Q14</f>
        <v/>
      </c>
      <c r="I14" s="10">
        <f>'③演算-数据录入'!T14/'③演算-数据录入'!S14</f>
        <v/>
      </c>
      <c r="J14" s="20">
        <f>'③演算-数据录入'!V14/'③演算-数据录入'!M14</f>
        <v/>
      </c>
      <c r="K14" s="10">
        <f>'③演算-数据录入'!L14/'③演算-数据录入'!K14</f>
        <v/>
      </c>
      <c r="L14" s="10">
        <f>'③演算-数据录入'!AD14/C14</f>
        <v/>
      </c>
      <c r="M14" s="10">
        <f>'③演算-数据录入'!H14/B14</f>
        <v/>
      </c>
      <c r="N14" s="10">
        <f>'③演算-数据录入'!X14/'③演算-数据录入'!W14</f>
        <v/>
      </c>
      <c r="O14" s="10">
        <f>'③演算-数据录入'!Z14/'③演算-数据录入'!Y14</f>
        <v/>
      </c>
      <c r="P14" s="20">
        <f>('③演算-数据录入'!AE14+'③演算-数据录入'!AF14+'③演算-数据录入'!AG14+'③演算-数据录入'!AH14)/'③演算-数据录入'!M14</f>
        <v/>
      </c>
      <c r="Q14" s="20">
        <f>('③演算-数据录入'!AE14+'③演算-数据录入'!AF14)/'③演算-数据录入'!M14</f>
        <v/>
      </c>
      <c r="R14" s="20">
        <f>'③演算-数据录入'!AI14-P14</f>
        <v/>
      </c>
      <c r="S14" s="18">
        <f>R14*'③演算-数据录入'!M14/B14</f>
        <v/>
      </c>
    </row>
    <row r="15">
      <c r="A15" s="4">
        <f>'③演算-数据录入'!A15</f>
        <v/>
      </c>
      <c r="B15" s="5">
        <f>('③演算-数据录入'!B15+'③演算-数据录入'!C15)/2</f>
        <v/>
      </c>
      <c r="C15" s="5">
        <f>'③演算-数据录入'!I15</f>
        <v/>
      </c>
      <c r="D15" s="10">
        <f>C15/B15</f>
        <v/>
      </c>
      <c r="E15" s="5">
        <f>'③演算-数据录入'!M15/1000</f>
        <v/>
      </c>
      <c r="F15" s="21">
        <f>'③演算-数据录入'!M15/C15/'③演算-数据录入'!AB15</f>
        <v/>
      </c>
      <c r="G15" s="10">
        <f>'③演算-数据录入'!O15</f>
        <v/>
      </c>
      <c r="H15" s="21">
        <f>'③演算-数据录入'!Q15</f>
        <v/>
      </c>
      <c r="I15" s="10">
        <f>'③演算-数据录入'!T15/'③演算-数据录入'!S15</f>
        <v/>
      </c>
      <c r="J15" s="20">
        <f>'③演算-数据录入'!V15/'③演算-数据录入'!M15</f>
        <v/>
      </c>
      <c r="K15" s="10">
        <f>'③演算-数据录入'!L15/'③演算-数据录入'!K15</f>
        <v/>
      </c>
      <c r="L15" s="10">
        <f>'③演算-数据录入'!AD15/C15</f>
        <v/>
      </c>
      <c r="M15" s="10">
        <f>'③演算-数据录入'!H15/B15</f>
        <v/>
      </c>
      <c r="N15" s="10">
        <f>'③演算-数据录入'!X15/'③演算-数据录入'!W15</f>
        <v/>
      </c>
      <c r="O15" s="10">
        <f>'③演算-数据录入'!Z15/'③演算-数据录入'!Y15</f>
        <v/>
      </c>
      <c r="P15" s="20">
        <f>('③演算-数据录入'!AE15+'③演算-数据录入'!AF15+'③演算-数据录入'!AG15+'③演算-数据录入'!AH15)/'③演算-数据录入'!M15</f>
        <v/>
      </c>
      <c r="Q15" s="20">
        <f>('③演算-数据录入'!AE15+'③演算-数据录入'!AF15)/'③演算-数据录入'!M15</f>
        <v/>
      </c>
      <c r="R15" s="20">
        <f>'③演算-数据录入'!AI15-P15</f>
        <v/>
      </c>
      <c r="S15" s="18">
        <f>R15*'③演算-数据录入'!M15/B15</f>
        <v/>
      </c>
    </row>
    <row r="16">
      <c r="A16" s="4">
        <f>'③演算-数据录入'!A16</f>
        <v/>
      </c>
      <c r="B16" s="5">
        <f>('③演算-数据录入'!B16+'③演算-数据录入'!C16)/2</f>
        <v/>
      </c>
      <c r="C16" s="5">
        <f>'③演算-数据录入'!I16</f>
        <v/>
      </c>
      <c r="D16" s="10">
        <f>C16/B16</f>
        <v/>
      </c>
      <c r="E16" s="5">
        <f>'③演算-数据录入'!M16/1000</f>
        <v/>
      </c>
      <c r="F16" s="21">
        <f>'③演算-数据录入'!M16/C16/'③演算-数据录入'!AB16</f>
        <v/>
      </c>
      <c r="G16" s="10">
        <f>'③演算-数据录入'!O16</f>
        <v/>
      </c>
      <c r="H16" s="21">
        <f>'③演算-数据录入'!Q16</f>
        <v/>
      </c>
      <c r="I16" s="10">
        <f>'③演算-数据录入'!T16/'③演算-数据录入'!S16</f>
        <v/>
      </c>
      <c r="J16" s="20">
        <f>'③演算-数据录入'!V16/'③演算-数据录入'!M16</f>
        <v/>
      </c>
      <c r="K16" s="10">
        <f>'③演算-数据录入'!L16/'③演算-数据录入'!K16</f>
        <v/>
      </c>
      <c r="L16" s="10">
        <f>'③演算-数据录入'!AD16/C16</f>
        <v/>
      </c>
      <c r="M16" s="10">
        <f>'③演算-数据录入'!H16/B16</f>
        <v/>
      </c>
      <c r="N16" s="10">
        <f>'③演算-数据录入'!X16/'③演算-数据录入'!W16</f>
        <v/>
      </c>
      <c r="O16" s="10">
        <f>'③演算-数据录入'!Z16/'③演算-数据录入'!Y16</f>
        <v/>
      </c>
      <c r="P16" s="20">
        <f>('③演算-数据录入'!AE16+'③演算-数据录入'!AF16+'③演算-数据录入'!AG16+'③演算-数据录入'!AH16)/'③演算-数据录入'!M16</f>
        <v/>
      </c>
      <c r="Q16" s="20">
        <f>('③演算-数据录入'!AE16+'③演算-数据录入'!AF16)/'③演算-数据录入'!M16</f>
        <v/>
      </c>
      <c r="R16" s="20">
        <f>'③演算-数据录入'!AI16-P16</f>
        <v/>
      </c>
      <c r="S16" s="18">
        <f>R16*'③演算-数据录入'!M16/B16</f>
        <v/>
      </c>
    </row>
    <row r="17">
      <c r="A17" s="4">
        <f>'③演算-数据录入'!A17</f>
        <v/>
      </c>
      <c r="B17" s="5">
        <f>('③演算-数据录入'!B17+'③演算-数据录入'!C17)/2</f>
        <v/>
      </c>
      <c r="C17" s="5">
        <f>'③演算-数据录入'!I17</f>
        <v/>
      </c>
      <c r="D17" s="10">
        <f>C17/B17</f>
        <v/>
      </c>
      <c r="E17" s="5">
        <f>'③演算-数据录入'!M17/1000</f>
        <v/>
      </c>
      <c r="F17" s="21">
        <f>'③演算-数据录入'!M17/C17/'③演算-数据录入'!AB17</f>
        <v/>
      </c>
      <c r="G17" s="10">
        <f>'③演算-数据录入'!O17</f>
        <v/>
      </c>
      <c r="H17" s="21">
        <f>'③演算-数据录入'!Q17</f>
        <v/>
      </c>
      <c r="I17" s="10">
        <f>'③演算-数据录入'!T17/'③演算-数据录入'!S17</f>
        <v/>
      </c>
      <c r="J17" s="20">
        <f>'③演算-数据录入'!V17/'③演算-数据录入'!M17</f>
        <v/>
      </c>
      <c r="K17" s="10">
        <f>'③演算-数据录入'!L17/'③演算-数据录入'!K17</f>
        <v/>
      </c>
      <c r="L17" s="10">
        <f>'③演算-数据录入'!AD17/C17</f>
        <v/>
      </c>
      <c r="M17" s="10">
        <f>'③演算-数据录入'!H17/B17</f>
        <v/>
      </c>
      <c r="N17" s="10">
        <f>'③演算-数据录入'!X17/'③演算-数据录入'!W17</f>
        <v/>
      </c>
      <c r="O17" s="10">
        <f>'③演算-数据录入'!Z17/'③演算-数据录入'!Y17</f>
        <v/>
      </c>
      <c r="P17" s="20">
        <f>('③演算-数据录入'!AE17+'③演算-数据录入'!AF17+'③演算-数据录入'!AG17+'③演算-数据录入'!AH17)/'③演算-数据录入'!M17</f>
        <v/>
      </c>
      <c r="Q17" s="20">
        <f>('③演算-数据录入'!AE17+'③演算-数据录入'!AF17)/'③演算-数据录入'!M17</f>
        <v/>
      </c>
      <c r="R17" s="20">
        <f>'③演算-数据录入'!AI17-P17</f>
        <v/>
      </c>
      <c r="S17" s="18">
        <f>R17*'③演算-数据录入'!M17/B17</f>
        <v/>
      </c>
    </row>
    <row r="20">
      <c r="A20" s="9" t="inlineStr">
        <is>
          <t>年度综合KPI与行业基准断言</t>
        </is>
      </c>
    </row>
    <row r="21">
      <c r="A21" s="3" t="inlineStr">
        <is>
          <t>年度核心指标</t>
        </is>
      </c>
      <c r="B21" s="3" t="inlineStr">
        <is>
          <t>单位</t>
        </is>
      </c>
      <c r="C21" s="3" t="inlineStr">
        <is>
          <t>年化测算值</t>
        </is>
      </c>
      <c r="D21" s="3" t="inlineStr">
        <is>
          <t>行业基准下限</t>
        </is>
      </c>
      <c r="E21" s="3" t="inlineStr">
        <is>
          <t>行业基准上限</t>
        </is>
      </c>
      <c r="F21" s="3" t="inlineStr">
        <is>
          <t>优秀/目标值</t>
        </is>
      </c>
      <c r="G21" s="3" t="inlineStr">
        <is>
          <t>判定规则</t>
        </is>
      </c>
      <c r="H21" s="3" t="inlineStr">
        <is>
          <t>断言结果</t>
        </is>
      </c>
    </row>
    <row r="22">
      <c r="A22" s="4" t="inlineStr">
        <is>
          <t>成母牛年单产(305天)</t>
        </is>
      </c>
      <c r="B22" s="5" t="inlineStr">
        <is>
          <t>kg</t>
        </is>
      </c>
      <c r="C22" s="18">
        <f>SUM('③演算-数据录入'!M6:M17)/AVERAGE(B6:B17)</f>
        <v/>
      </c>
      <c r="D22" s="18" t="n">
        <v>9500</v>
      </c>
      <c r="E22" s="18" t="n">
        <v>12000</v>
      </c>
      <c r="F22" s="18" t="n">
        <v>11500</v>
      </c>
      <c r="G22" s="5" t="inlineStr">
        <is>
          <t>低于下限=异常；达到目标=优秀</t>
        </is>
      </c>
      <c r="H22" s="5">
        <f>IF(ISNUMBER(D22),IF(C22&lt;D22,"异常",IF(AND(ISNUMBER(F22),C22&gt;=F22),"优秀","达标")),"")</f>
        <v/>
      </c>
    </row>
    <row r="23">
      <c r="A23" s="4" t="inlineStr">
        <is>
          <t>泌乳牛日均单产</t>
        </is>
      </c>
      <c r="B23" s="5" t="inlineStr">
        <is>
          <t>kg</t>
        </is>
      </c>
      <c r="C23" s="18">
        <f>AVERAGE(F6:F17)</f>
        <v/>
      </c>
      <c r="D23" s="18" t="n">
        <v>30</v>
      </c>
      <c r="E23" s="18" t="n">
        <v>38</v>
      </c>
      <c r="F23" s="18" t="n">
        <v>35</v>
      </c>
      <c r="G23" s="5" t="inlineStr">
        <is>
          <t>低于下限=异常；达到目标=优秀</t>
        </is>
      </c>
      <c r="H23" s="5">
        <f>IF(ISNUMBER(D23),IF(C23&lt;D23,"异常",IF(AND(ISNUMBER(F23),C23&gt;=F23),"优秀","达标")),"")</f>
        <v/>
      </c>
    </row>
    <row r="24">
      <c r="A24" s="4" t="inlineStr">
        <is>
          <t>生鲜牛乳脂率</t>
        </is>
      </c>
      <c r="B24" s="5" t="inlineStr">
        <is>
          <t>%</t>
        </is>
      </c>
      <c r="C24" s="19">
        <f>AVERAGE(G6:G17)</f>
        <v/>
      </c>
      <c r="D24" s="19" t="n">
        <v>0.037</v>
      </c>
      <c r="E24" s="19" t="n">
        <v>0.042</v>
      </c>
      <c r="F24" s="19" t="n">
        <v>0.0395</v>
      </c>
      <c r="G24" s="5" t="inlineStr">
        <is>
          <t>落在区间=达标；达到目标=优秀</t>
        </is>
      </c>
      <c r="H24" s="5">
        <f>IF(OR(C24&lt;D24,C24&gt;E24),"异常",IF(AND(ISNUMBER(F24),C24&gt;=F24),"优秀","达标"))</f>
        <v/>
      </c>
    </row>
    <row r="25">
      <c r="A25" s="4" t="inlineStr">
        <is>
          <t>生鲜牛乳蛋白率</t>
        </is>
      </c>
      <c r="B25" s="5" t="inlineStr">
        <is>
          <t>%</t>
        </is>
      </c>
      <c r="C25" s="19">
        <f>AVERAGE('③演算-数据录入'!P6:'③演算-数据录入'!P17)</f>
        <v/>
      </c>
      <c r="D25" s="19" t="n">
        <v>0.031</v>
      </c>
      <c r="E25" s="19" t="n">
        <v>0.035</v>
      </c>
      <c r="F25" s="19" t="n">
        <v>0.0335</v>
      </c>
      <c r="G25" s="5" t="inlineStr">
        <is>
          <t>落在区间=达标；达到目标=优秀</t>
        </is>
      </c>
      <c r="H25" s="5">
        <f>IF(OR(C25&lt;D25,C25&gt;E25),"异常",IF(AND(ISNUMBER(F25),C25&gt;=F25),"优秀","达标"))</f>
        <v/>
      </c>
    </row>
    <row r="26">
      <c r="A26" s="4" t="inlineStr">
        <is>
          <t>体细胞数 SCC均值</t>
        </is>
      </c>
      <c r="B26" s="5" t="inlineStr">
        <is>
          <t>万/mL</t>
        </is>
      </c>
      <c r="C26" s="20">
        <f>AVERAGE(H6:H17)</f>
        <v/>
      </c>
      <c r="D26" s="20" t="n"/>
      <c r="E26" s="20" t="n">
        <v>20</v>
      </c>
      <c r="F26" s="20" t="n">
        <v>15</v>
      </c>
      <c r="G26" s="5" t="inlineStr">
        <is>
          <t>超过上限=异常；达到目标=优秀</t>
        </is>
      </c>
      <c r="H26" s="5">
        <f>IF(ISNUMBER(E26),IF(C26&gt;E26,"异常",IF(AND(ISNUMBER(F26),C26&lt;=F26),"优秀","达标")),"")</f>
        <v/>
      </c>
    </row>
    <row r="27">
      <c r="A27" s="4" t="inlineStr">
        <is>
          <t>年化料奶比(FMR)</t>
        </is>
      </c>
      <c r="B27" s="5" t="inlineStr">
        <is>
          <t>:1</t>
        </is>
      </c>
      <c r="C27" s="20">
        <f>(SUM('③演算-数据录入'!AE6:AE17)+SUM('③演算-数据录入'!AF6:AF17))/SUM('③演算-数据录入'!M6:M17)*0.4</f>
        <v/>
      </c>
      <c r="D27" s="20" t="n">
        <v>1.35</v>
      </c>
      <c r="E27" s="20" t="n">
        <v>1.65</v>
      </c>
      <c r="F27" s="20" t="n">
        <v>1.45</v>
      </c>
      <c r="G27" s="5" t="inlineStr">
        <is>
          <t>超过上限=异常；达到目标=优秀</t>
        </is>
      </c>
      <c r="H27" s="5">
        <f>IF(ISNUMBER(E27),IF(C27&gt;E27,"异常",IF(AND(ISNUMBER(F27),C27&lt;=F27),"优秀","达标")),"")</f>
        <v/>
      </c>
    </row>
    <row r="28">
      <c r="A28" s="4" t="inlineStr">
        <is>
          <t>情期受胎率</t>
        </is>
      </c>
      <c r="B28" s="5" t="inlineStr">
        <is>
          <t>%</t>
        </is>
      </c>
      <c r="C28" s="19">
        <f>SUM('③演算-数据录入'!T6:T17)/SUM('③演算-数据录入'!S6:S17)</f>
        <v/>
      </c>
      <c r="D28" s="19" t="n">
        <v>0.35</v>
      </c>
      <c r="E28" s="19" t="n">
        <v>0.45</v>
      </c>
      <c r="F28" s="19" t="n">
        <v>0.4</v>
      </c>
      <c r="G28" s="5" t="inlineStr">
        <is>
          <t>低于下限=异常；达到目标=优秀</t>
        </is>
      </c>
      <c r="H28" s="5">
        <f>IF(ISNUMBER(D28),IF(C28&lt;D28,"异常",IF(AND(ISNUMBER(F28),C28&gt;=F28),"优秀","达标")),"")</f>
        <v/>
      </c>
    </row>
    <row r="29">
      <c r="A29" s="4" t="inlineStr">
        <is>
          <t>犊牛成活率</t>
        </is>
      </c>
      <c r="B29" s="5" t="inlineStr">
        <is>
          <t>%</t>
        </is>
      </c>
      <c r="C29" s="19">
        <f>SUM('③演算-数据录入'!L6:L17)/SUM('③演算-数据录入'!K6:K17)</f>
        <v/>
      </c>
      <c r="D29" s="19" t="n">
        <v>0.95</v>
      </c>
      <c r="E29" s="19" t="n">
        <v>0.98</v>
      </c>
      <c r="F29" s="19" t="n">
        <v>0.96</v>
      </c>
      <c r="G29" s="5" t="inlineStr">
        <is>
          <t>低于下限=异常；达到目标=优秀</t>
        </is>
      </c>
      <c r="H29" s="5">
        <f>IF(ISNUMBER(D29),IF(C29&lt;D29,"异常",IF(AND(ISNUMBER(F29),C29&gt;=F29),"优秀","达标")),"")</f>
        <v/>
      </c>
    </row>
    <row r="30">
      <c r="A30" s="4" t="inlineStr">
        <is>
          <t>成母牛年死淘率</t>
        </is>
      </c>
      <c r="B30" s="5" t="inlineStr">
        <is>
          <t>%</t>
        </is>
      </c>
      <c r="C30" s="19">
        <f>(SUM('③演算-数据录入'!G6:G17)+SUM('③演算-数据录入'!H6:H17))/AVERAGE(B6:B17)</f>
        <v/>
      </c>
      <c r="D30" s="19" t="n">
        <v>0.25</v>
      </c>
      <c r="E30" s="19" t="n">
        <v>0.32</v>
      </c>
      <c r="F30" s="19" t="n">
        <v>0.28</v>
      </c>
      <c r="G30" s="5" t="inlineStr">
        <is>
          <t>落在区间=达标；达到目标=优秀</t>
        </is>
      </c>
      <c r="H30" s="5">
        <f>IF(OR(C30&lt;D30,C30&gt;E30),"异常",IF(AND(ISNUMBER(F30),C30&gt;=F30),"优秀","达标"))</f>
        <v/>
      </c>
    </row>
    <row r="31">
      <c r="A31" s="4" t="inlineStr">
        <is>
          <t>成母牛月均死亡率</t>
        </is>
      </c>
      <c r="B31" s="5" t="inlineStr">
        <is>
          <t>%</t>
        </is>
      </c>
      <c r="C31" s="19">
        <f>AVERAGE(M6:M17)</f>
        <v/>
      </c>
      <c r="D31" s="19" t="n"/>
      <c r="E31" s="19" t="n">
        <v>0.008</v>
      </c>
      <c r="F31" s="19" t="n">
        <v>0.005</v>
      </c>
      <c r="G31" s="5" t="inlineStr">
        <is>
          <t>超过上限=异常；达到目标=优秀</t>
        </is>
      </c>
      <c r="H31" s="5">
        <f>IF(ISNUMBER(E31),IF(C31&gt;E31,"异常",IF(AND(ISNUMBER(F31),C31&lt;=F31),"优秀","达标")),"")</f>
        <v/>
      </c>
    </row>
    <row r="32">
      <c r="A32" s="4" t="inlineStr">
        <is>
          <t>休药期弃奶合规率</t>
        </is>
      </c>
      <c r="B32" s="5" t="inlineStr">
        <is>
          <t>%</t>
        </is>
      </c>
      <c r="C32" s="19">
        <f>SUM('③演算-数据录入'!X6:X17)/SUM('③演算-数据录入'!W6:W17)</f>
        <v/>
      </c>
      <c r="D32" s="19" t="n"/>
      <c r="E32" s="19" t="n"/>
      <c r="F32" s="19" t="n">
        <v>1</v>
      </c>
      <c r="G32" s="5" t="inlineStr">
        <is>
          <t>达到目标=达标，否则异常</t>
        </is>
      </c>
      <c r="H32" s="5">
        <f>IF(C32&gt;=F32,"达标","异常")</f>
        <v/>
      </c>
    </row>
    <row r="33">
      <c r="A33" s="4" t="inlineStr">
        <is>
          <t>病死牛无害化处理率</t>
        </is>
      </c>
      <c r="B33" s="5" t="inlineStr">
        <is>
          <t>%</t>
        </is>
      </c>
      <c r="C33" s="19">
        <f>SUM('③演算-数据录入'!Z6:Z17)/SUM('③演算-数据录入'!Y6:Y17)</f>
        <v/>
      </c>
      <c r="D33" s="19" t="n"/>
      <c r="E33" s="19" t="n"/>
      <c r="F33" s="19" t="n">
        <v>1</v>
      </c>
      <c r="G33" s="5" t="inlineStr">
        <is>
          <t>达到目标=达标，否则异常</t>
        </is>
      </c>
      <c r="H33" s="5">
        <f>IF(C33&gt;=F33,"达标","异常")</f>
        <v/>
      </c>
    </row>
    <row r="34">
      <c r="A34" s="4" t="inlineStr">
        <is>
          <t>耳标佩戴率</t>
        </is>
      </c>
      <c r="B34" s="5" t="inlineStr">
        <is>
          <t>%</t>
        </is>
      </c>
      <c r="C34" s="19">
        <f>AVERAGE('③演算-数据录入'!AA6:AA17)/AVERAGE(B6:B17)</f>
        <v/>
      </c>
      <c r="D34" s="19" t="n"/>
      <c r="E34" s="19" t="n"/>
      <c r="F34" s="19" t="n">
        <v>1</v>
      </c>
      <c r="G34" s="5" t="inlineStr">
        <is>
          <t>达到目标=达标，否则异常</t>
        </is>
      </c>
      <c r="H34" s="5">
        <f>IF(C34&gt;=F34,"达标","异常")</f>
        <v/>
      </c>
    </row>
    <row r="35">
      <c r="A35" s="4" t="inlineStr">
        <is>
          <t>公斤奶总成本</t>
        </is>
      </c>
      <c r="B35" s="5" t="inlineStr">
        <is>
          <t>元/kg</t>
        </is>
      </c>
      <c r="C35" s="20">
        <f>(SUM('③演算-数据录入'!AE6:AE17)+SUM('③演算-数据录入'!AF6:AF17)+SUM('③演算-数据录入'!AG6:AG17)+SUM('③演算-数据录入'!AH6:AH17))/SUM('③演算-数据录入'!M6:M17)</f>
        <v/>
      </c>
      <c r="D35" s="20" t="n">
        <v>3.2</v>
      </c>
      <c r="E35" s="20" t="n">
        <v>3.8</v>
      </c>
      <c r="F35" s="20" t="n">
        <v>3.4</v>
      </c>
      <c r="G35" s="5" t="inlineStr">
        <is>
          <t>行业行情参考，不设硬性判定</t>
        </is>
      </c>
      <c r="H35" s="5">
        <f>""</f>
        <v/>
      </c>
    </row>
    <row r="36">
      <c r="A36" s="4" t="inlineStr">
        <is>
          <t>公斤奶饲料成本</t>
        </is>
      </c>
      <c r="B36" s="5" t="inlineStr">
        <is>
          <t>元/kg</t>
        </is>
      </c>
      <c r="C36" s="20">
        <f>(SUM('③演算-数据录入'!AE6:AE17)+SUM('③演算-数据录入'!AF6:AF17))/SUM('③演算-数据录入'!M6:M17)</f>
        <v/>
      </c>
      <c r="D36" s="20" t="n">
        <v>2.1</v>
      </c>
      <c r="E36" s="20" t="n">
        <v>2.5</v>
      </c>
      <c r="F36" s="20" t="n">
        <v>2.25</v>
      </c>
      <c r="G36" s="5" t="inlineStr">
        <is>
          <t>行业行情参考，不设硬性判定</t>
        </is>
      </c>
      <c r="H36" s="5">
        <f>""</f>
        <v/>
      </c>
    </row>
    <row r="37">
      <c r="A37" s="4" t="inlineStr">
        <is>
          <t>公斤奶平均售价</t>
        </is>
      </c>
      <c r="B37" s="5" t="inlineStr">
        <is>
          <t>元/kg</t>
        </is>
      </c>
      <c r="C37" s="20">
        <f>SUMPRODUCT('③演算-数据录入'!M6:M17,'③演算-数据录入'!AI6:AI17)/SUM('③演算-数据录入'!M6:M17)</f>
        <v/>
      </c>
      <c r="D37" s="20" t="n">
        <v>3.7</v>
      </c>
      <c r="E37" s="20" t="n">
        <v>4.4</v>
      </c>
      <c r="F37" s="20" t="n">
        <v>4.1</v>
      </c>
      <c r="G37" s="5" t="inlineStr">
        <is>
          <t>行业行情参考，不设硬性判定</t>
        </is>
      </c>
      <c r="H37" s="5">
        <f>""</f>
        <v/>
      </c>
    </row>
    <row r="38">
      <c r="A38" s="4" t="inlineStr">
        <is>
          <t>成母牛头均年净利润</t>
        </is>
      </c>
      <c r="B38" s="5" t="inlineStr">
        <is>
          <t>元/头</t>
        </is>
      </c>
      <c r="C38" s="18">
        <f>SUM(S6:S17)</f>
        <v/>
      </c>
      <c r="D38" s="18" t="n">
        <v>2500</v>
      </c>
      <c r="E38" s="18" t="n">
        <v>6000</v>
      </c>
      <c r="F38" s="18" t="n">
        <v>4500</v>
      </c>
      <c r="G38" s="5" t="inlineStr">
        <is>
          <t>低于下限=异常；达到目标=优秀</t>
        </is>
      </c>
      <c r="H38" s="5">
        <f>IF(ISNUMBER(D38),IF(C38&lt;D38,"异常",IF(AND(ISNUMBER(F38),C38&gt;=F38),"优秀","达标")),"")</f>
        <v/>
      </c>
    </row>
  </sheetData>
  <mergeCells count="2">
    <mergeCell ref="A2:S2"/>
    <mergeCell ref="A1:S1"/>
  </mergeCells>
  <conditionalFormatting sqref="H6:H17">
    <cfRule type="cellIs" priority="1" operator="greaterThan" dxfId="0">
      <formula>20.0</formula>
    </cfRule>
  </conditionalFormatting>
  <conditionalFormatting sqref="M6:M17">
    <cfRule type="cellIs" priority="2" operator="greaterThan" dxfId="0">
      <formula>0.008</formula>
    </cfRule>
  </conditionalFormatting>
  <conditionalFormatting sqref="H22:H38">
    <cfRule type="cellIs" priority="3" operator="equal" dxfId="4">
      <formula>"优秀"</formula>
    </cfRule>
    <cfRule type="cellIs" priority="4" operator="equal" dxfId="1">
      <formula>"达标"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6" t="inlineStr">
        <is>
          <t>⑤ 奶牛可视化数据准备（月度标准宽表 · 直接驱动大屏看板）</t>
        </is>
      </c>
    </row>
    <row r="2" ht="28" customHeight="1">
      <c r="A2" s="2" t="inlineStr">
        <is>
          <t>本表结构为大屏看板直驱宽表：单产走势、乳品质变化、体细胞数预警线、饲喂成本与公斤奶利润分析。</t>
        </is>
      </c>
    </row>
    <row r="4">
      <c r="A4" s="3" t="inlineStr">
        <is>
          <t>月份</t>
        </is>
      </c>
      <c r="B4" s="3" t="inlineStr">
        <is>
          <t>平均成母牛</t>
        </is>
      </c>
      <c r="C4" s="3" t="inlineStr">
        <is>
          <t>泌乳牛日均单产(kg)</t>
        </is>
      </c>
      <c r="D4" s="3" t="inlineStr">
        <is>
          <t>月总产奶(吨)</t>
        </is>
      </c>
      <c r="E4" s="3" t="inlineStr">
        <is>
          <t>生鲜牛乳脂率</t>
        </is>
      </c>
      <c r="F4" s="3" t="inlineStr">
        <is>
          <t>生鲜牛乳蛋白率</t>
        </is>
      </c>
      <c r="G4" s="3" t="inlineStr">
        <is>
          <t>体细胞数(万/mL)</t>
        </is>
      </c>
      <c r="H4" s="3" t="inlineStr">
        <is>
          <t>料奶比(FMR)</t>
        </is>
      </c>
      <c r="I4" s="3" t="inlineStr">
        <is>
          <t>犊牛成活率</t>
        </is>
      </c>
      <c r="J4" s="3" t="inlineStr">
        <is>
          <t>成母牛月死亡率</t>
        </is>
      </c>
      <c r="K4" s="3" t="inlineStr">
        <is>
          <t>公斤奶总成本(元)</t>
        </is>
      </c>
      <c r="L4" s="3" t="inlineStr">
        <is>
          <t>公斤奶售价(元)</t>
        </is>
      </c>
      <c r="M4" s="3" t="inlineStr">
        <is>
          <t>公斤奶净利润(元)</t>
        </is>
      </c>
      <c r="N4" s="3" t="inlineStr">
        <is>
          <t>头均月利润(元)</t>
        </is>
      </c>
    </row>
    <row r="5">
      <c r="A5" s="4">
        <f>'④演算-指标计算'!A6</f>
        <v/>
      </c>
      <c r="B5" s="5">
        <f>'④演算-指标计算'!B6</f>
        <v/>
      </c>
      <c r="C5" s="21">
        <f>'④演算-指标计算'!F6</f>
        <v/>
      </c>
      <c r="D5" s="22">
        <f>'④演算-指标计算'!E6</f>
        <v/>
      </c>
      <c r="E5" s="19">
        <f>'④演算-指标计算'!G6</f>
        <v/>
      </c>
      <c r="F5" s="19">
        <f>'③演算-数据录入'!P6</f>
        <v/>
      </c>
      <c r="G5" s="21">
        <f>'④演算-指标计算'!H6</f>
        <v/>
      </c>
      <c r="H5" s="20">
        <f>'④演算-指标计算'!J6</f>
        <v/>
      </c>
      <c r="I5" s="19">
        <f>'④演算-指标计算'!K6</f>
        <v/>
      </c>
      <c r="J5" s="19">
        <f>'④演算-指标计算'!M6</f>
        <v/>
      </c>
      <c r="K5" s="20">
        <f>'④演算-指标计算'!P6</f>
        <v/>
      </c>
      <c r="L5" s="20">
        <f>'③演算-数据录入'!AI6</f>
        <v/>
      </c>
      <c r="M5" s="20">
        <f>'④演算-指标计算'!R6</f>
        <v/>
      </c>
      <c r="N5" s="18">
        <f>'④演算-指标计算'!S6</f>
        <v/>
      </c>
    </row>
    <row r="6">
      <c r="A6" s="4">
        <f>'④演算-指标计算'!A7</f>
        <v/>
      </c>
      <c r="B6" s="5">
        <f>'④演算-指标计算'!B7</f>
        <v/>
      </c>
      <c r="C6" s="21">
        <f>'④演算-指标计算'!F7</f>
        <v/>
      </c>
      <c r="D6" s="22">
        <f>'④演算-指标计算'!E7</f>
        <v/>
      </c>
      <c r="E6" s="19">
        <f>'④演算-指标计算'!G7</f>
        <v/>
      </c>
      <c r="F6" s="19">
        <f>'③演算-数据录入'!P7</f>
        <v/>
      </c>
      <c r="G6" s="21">
        <f>'④演算-指标计算'!H7</f>
        <v/>
      </c>
      <c r="H6" s="20">
        <f>'④演算-指标计算'!J7</f>
        <v/>
      </c>
      <c r="I6" s="19">
        <f>'④演算-指标计算'!K7</f>
        <v/>
      </c>
      <c r="J6" s="19">
        <f>'④演算-指标计算'!M7</f>
        <v/>
      </c>
      <c r="K6" s="20">
        <f>'④演算-指标计算'!P7</f>
        <v/>
      </c>
      <c r="L6" s="20">
        <f>'③演算-数据录入'!AI7</f>
        <v/>
      </c>
      <c r="M6" s="20">
        <f>'④演算-指标计算'!R7</f>
        <v/>
      </c>
      <c r="N6" s="18">
        <f>'④演算-指标计算'!S7</f>
        <v/>
      </c>
    </row>
    <row r="7">
      <c r="A7" s="4">
        <f>'④演算-指标计算'!A8</f>
        <v/>
      </c>
      <c r="B7" s="5">
        <f>'④演算-指标计算'!B8</f>
        <v/>
      </c>
      <c r="C7" s="21">
        <f>'④演算-指标计算'!F8</f>
        <v/>
      </c>
      <c r="D7" s="22">
        <f>'④演算-指标计算'!E8</f>
        <v/>
      </c>
      <c r="E7" s="19">
        <f>'④演算-指标计算'!G8</f>
        <v/>
      </c>
      <c r="F7" s="19">
        <f>'③演算-数据录入'!P8</f>
        <v/>
      </c>
      <c r="G7" s="21">
        <f>'④演算-指标计算'!H8</f>
        <v/>
      </c>
      <c r="H7" s="20">
        <f>'④演算-指标计算'!J8</f>
        <v/>
      </c>
      <c r="I7" s="19">
        <f>'④演算-指标计算'!K8</f>
        <v/>
      </c>
      <c r="J7" s="19">
        <f>'④演算-指标计算'!M8</f>
        <v/>
      </c>
      <c r="K7" s="20">
        <f>'④演算-指标计算'!P8</f>
        <v/>
      </c>
      <c r="L7" s="20">
        <f>'③演算-数据录入'!AI8</f>
        <v/>
      </c>
      <c r="M7" s="20">
        <f>'④演算-指标计算'!R8</f>
        <v/>
      </c>
      <c r="N7" s="18">
        <f>'④演算-指标计算'!S8</f>
        <v/>
      </c>
    </row>
    <row r="8">
      <c r="A8" s="4">
        <f>'④演算-指标计算'!A9</f>
        <v/>
      </c>
      <c r="B8" s="5">
        <f>'④演算-指标计算'!B9</f>
        <v/>
      </c>
      <c r="C8" s="21">
        <f>'④演算-指标计算'!F9</f>
        <v/>
      </c>
      <c r="D8" s="22">
        <f>'④演算-指标计算'!E9</f>
        <v/>
      </c>
      <c r="E8" s="19">
        <f>'④演算-指标计算'!G9</f>
        <v/>
      </c>
      <c r="F8" s="19">
        <f>'③演算-数据录入'!P9</f>
        <v/>
      </c>
      <c r="G8" s="21">
        <f>'④演算-指标计算'!H9</f>
        <v/>
      </c>
      <c r="H8" s="20">
        <f>'④演算-指标计算'!J9</f>
        <v/>
      </c>
      <c r="I8" s="19">
        <f>'④演算-指标计算'!K9</f>
        <v/>
      </c>
      <c r="J8" s="19">
        <f>'④演算-指标计算'!M9</f>
        <v/>
      </c>
      <c r="K8" s="20">
        <f>'④演算-指标计算'!P9</f>
        <v/>
      </c>
      <c r="L8" s="20">
        <f>'③演算-数据录入'!AI9</f>
        <v/>
      </c>
      <c r="M8" s="20">
        <f>'④演算-指标计算'!R9</f>
        <v/>
      </c>
      <c r="N8" s="18">
        <f>'④演算-指标计算'!S9</f>
        <v/>
      </c>
    </row>
    <row r="9">
      <c r="A9" s="4">
        <f>'④演算-指标计算'!A10</f>
        <v/>
      </c>
      <c r="B9" s="5">
        <f>'④演算-指标计算'!B10</f>
        <v/>
      </c>
      <c r="C9" s="21">
        <f>'④演算-指标计算'!F10</f>
        <v/>
      </c>
      <c r="D9" s="22">
        <f>'④演算-指标计算'!E10</f>
        <v/>
      </c>
      <c r="E9" s="19">
        <f>'④演算-指标计算'!G10</f>
        <v/>
      </c>
      <c r="F9" s="19">
        <f>'③演算-数据录入'!P10</f>
        <v/>
      </c>
      <c r="G9" s="21">
        <f>'④演算-指标计算'!H10</f>
        <v/>
      </c>
      <c r="H9" s="20">
        <f>'④演算-指标计算'!J10</f>
        <v/>
      </c>
      <c r="I9" s="19">
        <f>'④演算-指标计算'!K10</f>
        <v/>
      </c>
      <c r="J9" s="19">
        <f>'④演算-指标计算'!M10</f>
        <v/>
      </c>
      <c r="K9" s="20">
        <f>'④演算-指标计算'!P10</f>
        <v/>
      </c>
      <c r="L9" s="20">
        <f>'③演算-数据录入'!AI10</f>
        <v/>
      </c>
      <c r="M9" s="20">
        <f>'④演算-指标计算'!R10</f>
        <v/>
      </c>
      <c r="N9" s="18">
        <f>'④演算-指标计算'!S10</f>
        <v/>
      </c>
    </row>
    <row r="10">
      <c r="A10" s="4">
        <f>'④演算-指标计算'!A11</f>
        <v/>
      </c>
      <c r="B10" s="5">
        <f>'④演算-指标计算'!B11</f>
        <v/>
      </c>
      <c r="C10" s="21">
        <f>'④演算-指标计算'!F11</f>
        <v/>
      </c>
      <c r="D10" s="22">
        <f>'④演算-指标计算'!E11</f>
        <v/>
      </c>
      <c r="E10" s="19">
        <f>'④演算-指标计算'!G11</f>
        <v/>
      </c>
      <c r="F10" s="19">
        <f>'③演算-数据录入'!P11</f>
        <v/>
      </c>
      <c r="G10" s="21">
        <f>'④演算-指标计算'!H11</f>
        <v/>
      </c>
      <c r="H10" s="20">
        <f>'④演算-指标计算'!J11</f>
        <v/>
      </c>
      <c r="I10" s="19">
        <f>'④演算-指标计算'!K11</f>
        <v/>
      </c>
      <c r="J10" s="19">
        <f>'④演算-指标计算'!M11</f>
        <v/>
      </c>
      <c r="K10" s="20">
        <f>'④演算-指标计算'!P11</f>
        <v/>
      </c>
      <c r="L10" s="20">
        <f>'③演算-数据录入'!AI11</f>
        <v/>
      </c>
      <c r="M10" s="20">
        <f>'④演算-指标计算'!R11</f>
        <v/>
      </c>
      <c r="N10" s="18">
        <f>'④演算-指标计算'!S11</f>
        <v/>
      </c>
    </row>
    <row r="11">
      <c r="A11" s="4">
        <f>'④演算-指标计算'!A12</f>
        <v/>
      </c>
      <c r="B11" s="5">
        <f>'④演算-指标计算'!B12</f>
        <v/>
      </c>
      <c r="C11" s="21">
        <f>'④演算-指标计算'!F12</f>
        <v/>
      </c>
      <c r="D11" s="22">
        <f>'④演算-指标计算'!E12</f>
        <v/>
      </c>
      <c r="E11" s="19">
        <f>'④演算-指标计算'!G12</f>
        <v/>
      </c>
      <c r="F11" s="19">
        <f>'③演算-数据录入'!P12</f>
        <v/>
      </c>
      <c r="G11" s="21">
        <f>'④演算-指标计算'!H12</f>
        <v/>
      </c>
      <c r="H11" s="20">
        <f>'④演算-指标计算'!J12</f>
        <v/>
      </c>
      <c r="I11" s="19">
        <f>'④演算-指标计算'!K12</f>
        <v/>
      </c>
      <c r="J11" s="19">
        <f>'④演算-指标计算'!M12</f>
        <v/>
      </c>
      <c r="K11" s="20">
        <f>'④演算-指标计算'!P12</f>
        <v/>
      </c>
      <c r="L11" s="20">
        <f>'③演算-数据录入'!AI12</f>
        <v/>
      </c>
      <c r="M11" s="20">
        <f>'④演算-指标计算'!R12</f>
        <v/>
      </c>
      <c r="N11" s="18">
        <f>'④演算-指标计算'!S12</f>
        <v/>
      </c>
    </row>
    <row r="12">
      <c r="A12" s="4">
        <f>'④演算-指标计算'!A13</f>
        <v/>
      </c>
      <c r="B12" s="5">
        <f>'④演算-指标计算'!B13</f>
        <v/>
      </c>
      <c r="C12" s="21">
        <f>'④演算-指标计算'!F13</f>
        <v/>
      </c>
      <c r="D12" s="22">
        <f>'④演算-指标计算'!E13</f>
        <v/>
      </c>
      <c r="E12" s="19">
        <f>'④演算-指标计算'!G13</f>
        <v/>
      </c>
      <c r="F12" s="19">
        <f>'③演算-数据录入'!P13</f>
        <v/>
      </c>
      <c r="G12" s="21">
        <f>'④演算-指标计算'!H13</f>
        <v/>
      </c>
      <c r="H12" s="20">
        <f>'④演算-指标计算'!J13</f>
        <v/>
      </c>
      <c r="I12" s="19">
        <f>'④演算-指标计算'!K13</f>
        <v/>
      </c>
      <c r="J12" s="19">
        <f>'④演算-指标计算'!M13</f>
        <v/>
      </c>
      <c r="K12" s="20">
        <f>'④演算-指标计算'!P13</f>
        <v/>
      </c>
      <c r="L12" s="20">
        <f>'③演算-数据录入'!AI13</f>
        <v/>
      </c>
      <c r="M12" s="20">
        <f>'④演算-指标计算'!R13</f>
        <v/>
      </c>
      <c r="N12" s="18">
        <f>'④演算-指标计算'!S13</f>
        <v/>
      </c>
    </row>
    <row r="13">
      <c r="A13" s="4">
        <f>'④演算-指标计算'!A14</f>
        <v/>
      </c>
      <c r="B13" s="5">
        <f>'④演算-指标计算'!B14</f>
        <v/>
      </c>
      <c r="C13" s="21">
        <f>'④演算-指标计算'!F14</f>
        <v/>
      </c>
      <c r="D13" s="22">
        <f>'④演算-指标计算'!E14</f>
        <v/>
      </c>
      <c r="E13" s="19">
        <f>'④演算-指标计算'!G14</f>
        <v/>
      </c>
      <c r="F13" s="19">
        <f>'③演算-数据录入'!P14</f>
        <v/>
      </c>
      <c r="G13" s="21">
        <f>'④演算-指标计算'!H14</f>
        <v/>
      </c>
      <c r="H13" s="20">
        <f>'④演算-指标计算'!J14</f>
        <v/>
      </c>
      <c r="I13" s="19">
        <f>'④演算-指标计算'!K14</f>
        <v/>
      </c>
      <c r="J13" s="19">
        <f>'④演算-指标计算'!M14</f>
        <v/>
      </c>
      <c r="K13" s="20">
        <f>'④演算-指标计算'!P14</f>
        <v/>
      </c>
      <c r="L13" s="20">
        <f>'③演算-数据录入'!AI14</f>
        <v/>
      </c>
      <c r="M13" s="20">
        <f>'④演算-指标计算'!R14</f>
        <v/>
      </c>
      <c r="N13" s="18">
        <f>'④演算-指标计算'!S14</f>
        <v/>
      </c>
    </row>
    <row r="14">
      <c r="A14" s="4">
        <f>'④演算-指标计算'!A15</f>
        <v/>
      </c>
      <c r="B14" s="5">
        <f>'④演算-指标计算'!B15</f>
        <v/>
      </c>
      <c r="C14" s="21">
        <f>'④演算-指标计算'!F15</f>
        <v/>
      </c>
      <c r="D14" s="22">
        <f>'④演算-指标计算'!E15</f>
        <v/>
      </c>
      <c r="E14" s="19">
        <f>'④演算-指标计算'!G15</f>
        <v/>
      </c>
      <c r="F14" s="19">
        <f>'③演算-数据录入'!P15</f>
        <v/>
      </c>
      <c r="G14" s="21">
        <f>'④演算-指标计算'!H15</f>
        <v/>
      </c>
      <c r="H14" s="20">
        <f>'④演算-指标计算'!J15</f>
        <v/>
      </c>
      <c r="I14" s="19">
        <f>'④演算-指标计算'!K15</f>
        <v/>
      </c>
      <c r="J14" s="19">
        <f>'④演算-指标计算'!M15</f>
        <v/>
      </c>
      <c r="K14" s="20">
        <f>'④演算-指标计算'!P15</f>
        <v/>
      </c>
      <c r="L14" s="20">
        <f>'③演算-数据录入'!AI15</f>
        <v/>
      </c>
      <c r="M14" s="20">
        <f>'④演算-指标计算'!R15</f>
        <v/>
      </c>
      <c r="N14" s="18">
        <f>'④演算-指标计算'!S15</f>
        <v/>
      </c>
    </row>
    <row r="15">
      <c r="A15" s="4">
        <f>'④演算-指标计算'!A16</f>
        <v/>
      </c>
      <c r="B15" s="5">
        <f>'④演算-指标计算'!B16</f>
        <v/>
      </c>
      <c r="C15" s="21">
        <f>'④演算-指标计算'!F16</f>
        <v/>
      </c>
      <c r="D15" s="22">
        <f>'④演算-指标计算'!E16</f>
        <v/>
      </c>
      <c r="E15" s="19">
        <f>'④演算-指标计算'!G16</f>
        <v/>
      </c>
      <c r="F15" s="19">
        <f>'③演算-数据录入'!P16</f>
        <v/>
      </c>
      <c r="G15" s="21">
        <f>'④演算-指标计算'!H16</f>
        <v/>
      </c>
      <c r="H15" s="20">
        <f>'④演算-指标计算'!J16</f>
        <v/>
      </c>
      <c r="I15" s="19">
        <f>'④演算-指标计算'!K16</f>
        <v/>
      </c>
      <c r="J15" s="19">
        <f>'④演算-指标计算'!M16</f>
        <v/>
      </c>
      <c r="K15" s="20">
        <f>'④演算-指标计算'!P16</f>
        <v/>
      </c>
      <c r="L15" s="20">
        <f>'③演算-数据录入'!AI16</f>
        <v/>
      </c>
      <c r="M15" s="20">
        <f>'④演算-指标计算'!R16</f>
        <v/>
      </c>
      <c r="N15" s="18">
        <f>'④演算-指标计算'!S16</f>
        <v/>
      </c>
    </row>
    <row r="16">
      <c r="A16" s="4">
        <f>'④演算-指标计算'!A17</f>
        <v/>
      </c>
      <c r="B16" s="5">
        <f>'④演算-指标计算'!B17</f>
        <v/>
      </c>
      <c r="C16" s="21">
        <f>'④演算-指标计算'!F17</f>
        <v/>
      </c>
      <c r="D16" s="22">
        <f>'④演算-指标计算'!E17</f>
        <v/>
      </c>
      <c r="E16" s="19">
        <f>'④演算-指标计算'!G17</f>
        <v/>
      </c>
      <c r="F16" s="19">
        <f>'③演算-数据录入'!P17</f>
        <v/>
      </c>
      <c r="G16" s="21">
        <f>'④演算-指标计算'!H17</f>
        <v/>
      </c>
      <c r="H16" s="20">
        <f>'④演算-指标计算'!J17</f>
        <v/>
      </c>
      <c r="I16" s="19">
        <f>'④演算-指标计算'!K17</f>
        <v/>
      </c>
      <c r="J16" s="19">
        <f>'④演算-指标计算'!M17</f>
        <v/>
      </c>
      <c r="K16" s="20">
        <f>'④演算-指标计算'!P17</f>
        <v/>
      </c>
      <c r="L16" s="20">
        <f>'③演算-数据录入'!AI17</f>
        <v/>
      </c>
      <c r="M16" s="20">
        <f>'④演算-指标计算'!R17</f>
        <v/>
      </c>
      <c r="N16" s="18">
        <f>'④演算-指标计算'!S17</f>
        <v/>
      </c>
    </row>
    <row r="19">
      <c r="A19" s="9" t="inlineStr">
        <is>
          <t>年度奶牛核心KPI大数字卡片数据源</t>
        </is>
      </c>
    </row>
    <row r="20">
      <c r="A20" s="3" t="inlineStr">
        <is>
          <t>核心KPI</t>
        </is>
      </c>
      <c r="B20" s="3" t="inlineStr">
        <is>
          <t>年化数值</t>
        </is>
      </c>
      <c r="C20" s="3" t="inlineStr">
        <is>
          <t>计量单位</t>
        </is>
      </c>
      <c r="D20" s="3" t="inlineStr">
        <is>
          <t>行业基准目标</t>
        </is>
      </c>
      <c r="E20" s="3" t="inlineStr">
        <is>
          <t>达成状态</t>
        </is>
      </c>
    </row>
    <row r="21">
      <c r="A21" s="4" t="inlineStr">
        <is>
          <t>成母牛年单产</t>
        </is>
      </c>
      <c r="B21" s="18">
        <f>'④演算-指标计算'!C22</f>
        <v/>
      </c>
      <c r="C21" s="5">
        <f>'④演算-指标计算'!B22</f>
        <v/>
      </c>
      <c r="D21" s="18">
        <f>'④演算-指标计算'!F22</f>
        <v/>
      </c>
      <c r="E21" s="5">
        <f>'④演算-指标计算'!H22</f>
        <v/>
      </c>
    </row>
    <row r="22">
      <c r="A22" s="4" t="inlineStr">
        <is>
          <t>泌乳牛日均单产</t>
        </is>
      </c>
      <c r="B22" s="18">
        <f>'④演算-指标计算'!C23</f>
        <v/>
      </c>
      <c r="C22" s="5">
        <f>'④演算-指标计算'!B23</f>
        <v/>
      </c>
      <c r="D22" s="18">
        <f>'④演算-指标计算'!F23</f>
        <v/>
      </c>
      <c r="E22" s="5">
        <f>'④演算-指标计算'!H23</f>
        <v/>
      </c>
    </row>
    <row r="23">
      <c r="A23" s="4" t="inlineStr">
        <is>
          <t>生鲜牛乳脂率</t>
        </is>
      </c>
      <c r="B23" s="19">
        <f>'④演算-指标计算'!C24</f>
        <v/>
      </c>
      <c r="C23" s="5">
        <f>'④演算-指标计算'!B24</f>
        <v/>
      </c>
      <c r="D23" s="19">
        <f>'④演算-指标计算'!F24</f>
        <v/>
      </c>
      <c r="E23" s="5">
        <f>'④演算-指标计算'!H24</f>
        <v/>
      </c>
    </row>
    <row r="24">
      <c r="A24" s="4" t="inlineStr">
        <is>
          <t>生鲜牛乳蛋白率</t>
        </is>
      </c>
      <c r="B24" s="19">
        <f>'④演算-指标计算'!C25</f>
        <v/>
      </c>
      <c r="C24" s="5">
        <f>'④演算-指标计算'!B25</f>
        <v/>
      </c>
      <c r="D24" s="19">
        <f>'④演算-指标计算'!F25</f>
        <v/>
      </c>
      <c r="E24" s="5">
        <f>'④演算-指标计算'!H25</f>
        <v/>
      </c>
    </row>
    <row r="25">
      <c r="A25" s="4" t="inlineStr">
        <is>
          <t>体细胞数 SCC</t>
        </is>
      </c>
      <c r="B25" s="20">
        <f>'④演算-指标计算'!C26</f>
        <v/>
      </c>
      <c r="C25" s="5">
        <f>'④演算-指标计算'!B26</f>
        <v/>
      </c>
      <c r="D25" s="20">
        <f>'④演算-指标计算'!F26</f>
        <v/>
      </c>
      <c r="E25" s="5">
        <f>'④演算-指标计算'!H26</f>
        <v/>
      </c>
    </row>
    <row r="26">
      <c r="A26" s="4" t="inlineStr">
        <is>
          <t>年化料奶比</t>
        </is>
      </c>
      <c r="B26" s="20">
        <f>'④演算-指标计算'!C27</f>
        <v/>
      </c>
      <c r="C26" s="5">
        <f>'④演算-指标计算'!B27</f>
        <v/>
      </c>
      <c r="D26" s="20">
        <f>'④演算-指标计算'!F27</f>
        <v/>
      </c>
      <c r="E26" s="5">
        <f>'④演算-指标计算'!H27</f>
        <v/>
      </c>
    </row>
    <row r="27">
      <c r="A27" s="4" t="inlineStr">
        <is>
          <t>犊牛成活率</t>
        </is>
      </c>
      <c r="B27" s="19">
        <f>'④演算-指标计算'!C29</f>
        <v/>
      </c>
      <c r="C27" s="5">
        <f>'④演算-指标计算'!B29</f>
        <v/>
      </c>
      <c r="D27" s="19">
        <f>'④演算-指标计算'!F29</f>
        <v/>
      </c>
      <c r="E27" s="5">
        <f>'④演算-指标计算'!H29</f>
        <v/>
      </c>
    </row>
    <row r="28">
      <c r="A28" s="4" t="inlineStr">
        <is>
          <t>公斤奶平均成本</t>
        </is>
      </c>
      <c r="B28" s="20">
        <f>'④演算-指标计算'!C35</f>
        <v/>
      </c>
      <c r="C28" s="5">
        <f>'④演算-指标计算'!B35</f>
        <v/>
      </c>
      <c r="D28" s="20">
        <f>'④演算-指标计算'!F35</f>
        <v/>
      </c>
      <c r="E28" s="5">
        <f>'④演算-指标计算'!H35</f>
        <v/>
      </c>
    </row>
    <row r="29">
      <c r="A29" s="4" t="inlineStr">
        <is>
          <t>成母牛年头均净利润</t>
        </is>
      </c>
      <c r="B29" s="18">
        <f>'④演算-指标计算'!C38</f>
        <v/>
      </c>
      <c r="C29" s="5">
        <f>'④演算-指标计算'!B38</f>
        <v/>
      </c>
      <c r="D29" s="18">
        <f>'④演算-指标计算'!F38</f>
        <v/>
      </c>
      <c r="E29" s="5">
        <f>'④演算-指标计算'!H38</f>
        <v/>
      </c>
    </row>
  </sheetData>
  <mergeCells count="2">
    <mergeCell ref="A2:N2"/>
    <mergeCell ref="A1:N1"/>
  </mergeCells>
  <conditionalFormatting sqref="E21:E29">
    <cfRule type="cellIs" priority="1" operator="equal" dxfId="4">
      <formula>"优秀"</formula>
    </cfRule>
    <cfRule type="cellIs" priority="2" operator="equal" dxfId="1">
      <formula>"达标"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2026-10-21T14:26:24Z</dcterms:created>
  <dcterms:modified xsi:type="dcterms:W3CDTF">2026-10-21T14:26:24Z</dcterms:modified>
</cp:coreProperties>
</file>