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指标库" sheetId="1" state="visible" r:id="rId1"/>
    <sheet xmlns:r="http://schemas.openxmlformats.org/officeDocument/2006/relationships" name="②可行性验证报告" sheetId="2" state="visible" r:id="rId2"/>
    <sheet xmlns:r="http://schemas.openxmlformats.org/officeDocument/2006/relationships" name="③演算-数据录入" sheetId="3" state="visible" r:id="rId3"/>
    <sheet xmlns:r="http://schemas.openxmlformats.org/officeDocument/2006/relationships" name="④演算-指标计算" sheetId="4" state="visible" r:id="rId4"/>
    <sheet xmlns:r="http://schemas.openxmlformats.org/officeDocument/2006/relationships" name="⑤可视化数据准备" sheetId="5" state="visible" r:id="rId5"/>
  </sheets>
  <definedNames>
    <definedName name="_xlnm._FilterDatabase" localSheetId="0" hidden="1">'①指标库'!$A$3:$N$31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##"/>
    <numFmt numFmtId="165" formatCode="0.##%"/>
    <numFmt numFmtId="166" formatCode="0.0%"/>
    <numFmt numFmtId="167" formatCode="0.0"/>
    <numFmt numFmtId="168" formatCode="#,##0.0"/>
  </numFmts>
  <fonts count="11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333333"/>
      <sz val="10"/>
    </font>
    <font>
      <name val="微软雅黑"/>
      <b val="1"/>
      <color rgb="00FFFFFF"/>
      <sz val="10.5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133C9A"/>
      <sz val="11.5"/>
    </font>
    <font>
      <name val="微软雅黑"/>
      <b val="1"/>
      <sz val="10"/>
    </font>
    <font>
      <name val="微软雅黑"/>
      <b val="1"/>
      <color rgb="00133C9A"/>
      <sz val="10"/>
    </font>
    <font>
      <name val="微软雅黑"/>
      <b val="1"/>
      <color rgb="00375623"/>
      <sz val="10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3370FF"/>
      </patternFill>
    </fill>
    <fill>
      <patternFill patternType="solid">
        <fgColor rgb="00F2F6FC"/>
      </patternFill>
    </fill>
    <fill>
      <patternFill patternType="solid">
        <fgColor rgb="00133C9A"/>
      </patternFill>
    </fill>
    <fill>
      <patternFill patternType="solid">
        <fgColor rgb="00E2EFDA"/>
      </patternFill>
    </fill>
    <fill>
      <patternFill patternType="solid">
        <fgColor rgb="00E1EAFF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166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168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7">
    <dxf>
      <font>
        <name val="微软雅黑"/>
        <b val="1"/>
        <color rgb="00C00000"/>
        <sz val="10"/>
      </font>
      <fill>
        <patternFill patternType="solid">
          <fgColor rgb="00FDE7E9"/>
        </patternFill>
      </fill>
    </dxf>
    <dxf>
      <font>
        <name val="微软雅黑"/>
        <color rgb="00375623"/>
        <sz val="10"/>
      </font>
      <fill>
        <patternFill patternType="solid">
          <fgColor rgb="00E2EFDA"/>
        </patternFill>
      </fill>
    </dxf>
    <dxf>
      <font>
        <name val="微软雅黑"/>
        <b val="1"/>
        <color rgb="00375623"/>
        <sz val="10"/>
      </font>
      <fill>
        <patternFill patternType="solid">
          <fgColor rgb="00E2EFDA"/>
        </patternFill>
      </fill>
    </dxf>
    <dxf>
      <font>
        <name val="微软雅黑"/>
        <b val="1"/>
        <color rgb="00133C9A"/>
        <sz val="10"/>
      </font>
      <fill>
        <patternFill patternType="solid">
          <fgColor rgb="00E1EAFF"/>
        </patternFill>
      </fill>
    </dxf>
    <dxf>
      <font>
        <name val="微软雅黑"/>
        <b val="1"/>
        <color rgb="00133C9A"/>
        <sz val="10"/>
      </font>
    </dxf>
    <dxf>
      <font>
        <name val="微软雅黑"/>
        <b val="1"/>
        <color rgb="007F6000"/>
        <sz val="10"/>
      </font>
      <fill>
        <patternFill patternType="solid">
          <fgColor rgb="00FFF2CC"/>
        </patternFill>
      </fill>
    </dxf>
    <dxf>
      <font>
        <name val="微软雅黑"/>
        <color rgb="007F6000"/>
        <sz val="1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34" customWidth="1" min="4" max="4"/>
    <col width="9" customWidth="1" min="5" max="5"/>
    <col width="9" customWidth="1" min="6" max="6"/>
    <col width="10" customWidth="1" min="7" max="7"/>
    <col width="16" customWidth="1" min="8" max="8"/>
    <col width="30" customWidth="1" min="9" max="9"/>
    <col width="9" customWidth="1" min="10" max="10"/>
    <col width="12" customWidth="1" min="11" max="11"/>
    <col width="18" customWidth="1" min="12" max="12"/>
    <col width="38" customWidth="1" min="13" max="13"/>
    <col width="9" customWidth="1" min="14" max="14"/>
  </cols>
  <sheetData>
    <row r="1">
      <c r="A1" s="1" t="inlineStr">
        <is>
          <t>生猪养殖核心指标库（指标字典 · 数据来源已逐项核对档案表）</t>
        </is>
      </c>
    </row>
    <row r="2" ht="42" customHeight="1">
      <c r="A2" s="2" t="inlineStr">
        <is>
          <t>说明：① 可得性评级——A=档案表现有字段可直接汇总；B=需跨表关联/批次匹配/阈值判定；C=现有档案无字段，需补采或对接财务。② 参考值为规模化猪场行业通用区间，用于看板阈值线与达标判定；空值表示无统一行业参考（按本场基线管理）。③ 表号对应《畜禽养殖档案管理表格（全套）》。④ N列评级代码为统计与筛选字段，供报告页公式和看板自动汇总。</t>
        </is>
      </c>
    </row>
    <row r="3">
      <c r="A3" s="3" t="inlineStr">
        <is>
          <t>指标大类</t>
        </is>
      </c>
      <c r="B3" s="3" t="inlineStr">
        <is>
          <t>指标名称</t>
        </is>
      </c>
      <c r="C3" s="3" t="inlineStr">
        <is>
          <t>单位</t>
        </is>
      </c>
      <c r="D3" s="3" t="inlineStr">
        <is>
          <t>计算公式</t>
        </is>
      </c>
      <c r="E3" s="3" t="inlineStr">
        <is>
          <t>参考下限</t>
        </is>
      </c>
      <c r="F3" s="3" t="inlineStr">
        <is>
          <t>参考上限</t>
        </is>
      </c>
      <c r="G3" s="3" t="inlineStr">
        <is>
          <t>优秀/目标值</t>
        </is>
      </c>
      <c r="H3" s="3" t="inlineStr">
        <is>
          <t>数据来源表号</t>
        </is>
      </c>
      <c r="I3" s="3" t="inlineStr">
        <is>
          <t>关键字段（已核对档案表）</t>
        </is>
      </c>
      <c r="J3" s="3" t="inlineStr">
        <is>
          <t>指标优先级</t>
        </is>
      </c>
      <c r="K3" s="3" t="inlineStr">
        <is>
          <t>数据可得性</t>
        </is>
      </c>
      <c r="L3" s="3" t="inlineStr">
        <is>
          <t>可视化适配</t>
        </is>
      </c>
      <c r="M3" s="3" t="inlineStr">
        <is>
          <t>验证说明与补采建议</t>
        </is>
      </c>
      <c r="N3" s="3" t="inlineStr">
        <is>
          <t>评级代码</t>
        </is>
      </c>
    </row>
    <row r="4" ht="40" customHeight="1">
      <c r="A4" s="4" t="inlineStr">
        <is>
          <t>繁殖性能</t>
        </is>
      </c>
      <c r="B4" s="5" t="inlineStr">
        <is>
          <t>PSY 年每头母猪断奶仔猪数</t>
        </is>
      </c>
      <c r="C4" s="5" t="inlineStr">
        <is>
          <t>头</t>
        </is>
      </c>
      <c r="D4" s="5" t="inlineStr">
        <is>
          <t>年断奶仔猪总数÷年平均存栏能繁母猪数</t>
        </is>
      </c>
      <c r="E4" s="6" t="n">
        <v>22</v>
      </c>
      <c r="F4" s="6" t="n">
        <v>28</v>
      </c>
      <c r="G4" s="6" t="n">
        <v>30</v>
      </c>
      <c r="H4" s="5" t="inlineStr">
        <is>
          <t>02-10、02-06</t>
        </is>
      </c>
      <c r="I4" s="5" t="inlineStr">
        <is>
          <t>02-10 I断奶头数；02-06种畜卡性别/在场状态</t>
        </is>
      </c>
      <c r="J4" s="5" t="inlineStr">
        <is>
          <t>核心</t>
        </is>
      </c>
      <c r="K4" s="5" t="inlineStr">
        <is>
          <t>B 加工可得</t>
        </is>
      </c>
      <c r="L4" s="5" t="inlineStr">
        <is>
          <t>KPI卡片、年度趋势</t>
        </is>
      </c>
      <c r="M4" s="5" t="inlineStr">
        <is>
          <t>断奶数直接可得；能繁母猪存栏需按02-06种畜卡性别统计，或01-07按品种/舍号定义母猪群口径</t>
        </is>
      </c>
      <c r="N4" s="5" t="inlineStr">
        <is>
          <t>B</t>
        </is>
      </c>
    </row>
    <row r="5" ht="40" customHeight="1">
      <c r="A5" s="4" t="inlineStr">
        <is>
          <t>繁殖性能</t>
        </is>
      </c>
      <c r="B5" s="5" t="inlineStr">
        <is>
          <t>MSY 年每头母猪出栏肥猪数</t>
        </is>
      </c>
      <c r="C5" s="5" t="inlineStr">
        <is>
          <t>头</t>
        </is>
      </c>
      <c r="D5" s="5" t="inlineStr">
        <is>
          <t>年出栏肥猪总数÷年平均存栏能繁母猪数</t>
        </is>
      </c>
      <c r="E5" s="6" t="n">
        <v>20</v>
      </c>
      <c r="F5" s="6" t="n">
        <v>25</v>
      </c>
      <c r="G5" s="6" t="n">
        <v>27</v>
      </c>
      <c r="H5" s="5" t="inlineStr">
        <is>
          <t>06-01、02-06</t>
        </is>
      </c>
      <c r="I5" s="5" t="inlineStr">
        <is>
          <t>06-01 I数量；02-06种畜卡</t>
        </is>
      </c>
      <c r="J5" s="5" t="inlineStr">
        <is>
          <t>核心</t>
        </is>
      </c>
      <c r="K5" s="5" t="inlineStr">
        <is>
          <t>B 加工可得</t>
        </is>
      </c>
      <c r="L5" s="5" t="inlineStr">
        <is>
          <t>KPI卡片、同环比柱状图</t>
        </is>
      </c>
      <c r="M5" s="5" t="inlineStr">
        <is>
          <t>出栏数直接；母猪口径同上，建议01-07增“畜禽类别”列明确能繁母猪</t>
        </is>
      </c>
      <c r="N5" s="5" t="inlineStr">
        <is>
          <t>B</t>
        </is>
      </c>
    </row>
    <row r="6" ht="40" customHeight="1">
      <c r="A6" s="4" t="inlineStr">
        <is>
          <t>繁殖性能</t>
        </is>
      </c>
      <c r="B6" s="5" t="inlineStr">
        <is>
          <t>配种分娩率</t>
        </is>
      </c>
      <c r="C6" s="5" t="inlineStr">
        <is>
          <t>%</t>
        </is>
      </c>
      <c r="D6" s="5" t="inlineStr">
        <is>
          <t>分娩母畜数÷配种母畜数（按母畜标识号批次匹配，剔除妊检阴性/返情）</t>
        </is>
      </c>
      <c r="E6" s="7" t="n">
        <v>0.85</v>
      </c>
      <c r="F6" s="7" t="n">
        <v>0.9</v>
      </c>
      <c r="G6" s="7" t="n">
        <v>0.92</v>
      </c>
      <c r="H6" s="5" t="inlineStr">
        <is>
          <t>02-07、02-09</t>
        </is>
      </c>
      <c r="I6" s="5" t="inlineStr">
        <is>
          <t>02-07 L妊检结果/C母畜标识号；02-09 C母畜标识号</t>
        </is>
      </c>
      <c r="J6" s="5" t="inlineStr">
        <is>
          <t>核心</t>
        </is>
      </c>
      <c r="K6" s="5" t="inlineStr">
        <is>
          <t>B 加工可得</t>
        </is>
      </c>
      <c r="L6" s="5" t="inlineStr">
        <is>
          <t>月度折线、分舍柱状图</t>
        </is>
      </c>
      <c r="M6" s="5" t="inlineStr">
        <is>
          <t>需跨表按个体号匹配；配种至分娩约114天，须按批次而非同月相除</t>
        </is>
      </c>
      <c r="N6" s="5" t="inlineStr">
        <is>
          <t>B</t>
        </is>
      </c>
    </row>
    <row r="7" ht="40" customHeight="1">
      <c r="A7" s="4" t="inlineStr">
        <is>
          <t>繁殖性能</t>
        </is>
      </c>
      <c r="B7" s="5" t="inlineStr">
        <is>
          <t>胎均活仔数</t>
        </is>
      </c>
      <c r="C7" s="5" t="inlineStr">
        <is>
          <t>头</t>
        </is>
      </c>
      <c r="D7" s="5" t="inlineStr">
        <is>
          <t>出生活仔总数÷分娩窝数</t>
        </is>
      </c>
      <c r="E7" s="6" t="n">
        <v>10</v>
      </c>
      <c r="F7" s="6" t="n">
        <v>13</v>
      </c>
      <c r="G7" s="6" t="n">
        <v>13</v>
      </c>
      <c r="H7" s="5" t="inlineStr">
        <is>
          <t>02-09</t>
        </is>
      </c>
      <c r="I7" s="5" t="inlineStr">
        <is>
          <t>H活仔数（直接汇总）、行计数为窝数</t>
        </is>
      </c>
      <c r="J7" s="5" t="inlineStr">
        <is>
          <t>常规</t>
        </is>
      </c>
      <c r="K7" s="5" t="inlineStr">
        <is>
          <t>A 直接可得</t>
        </is>
      </c>
      <c r="L7" s="5" t="inlineStr">
        <is>
          <t>窝次分布直方图</t>
        </is>
      </c>
      <c r="M7" s="5" t="inlineStr">
        <is>
          <t>02-09字段完整，SUM(活仔数)/COUNT(窝)即可</t>
        </is>
      </c>
      <c r="N7" s="5" t="inlineStr">
        <is>
          <t>A</t>
        </is>
      </c>
    </row>
    <row r="8" ht="40" customHeight="1">
      <c r="A8" s="4" t="inlineStr">
        <is>
          <t>繁殖性能</t>
        </is>
      </c>
      <c r="B8" s="5" t="inlineStr">
        <is>
          <t>母猪年产胎次</t>
        </is>
      </c>
      <c r="C8" s="5" t="inlineStr">
        <is>
          <t>胎</t>
        </is>
      </c>
      <c r="D8" s="5" t="inlineStr">
        <is>
          <t>年分娩总窝数÷年平均存栏能繁母猪数</t>
        </is>
      </c>
      <c r="E8" s="6" t="n">
        <v>2.2</v>
      </c>
      <c r="F8" s="6" t="n">
        <v>2.4</v>
      </c>
      <c r="G8" s="6" t="n">
        <v>2.45</v>
      </c>
      <c r="H8" s="5" t="inlineStr">
        <is>
          <t>02-09、02-06</t>
        </is>
      </c>
      <c r="I8" s="5" t="inlineStr">
        <is>
          <t>02-09分娩窝数；02-06母猪存栏</t>
        </is>
      </c>
      <c r="J8" s="5" t="inlineStr">
        <is>
          <t>常规</t>
        </is>
      </c>
      <c r="K8" s="5" t="inlineStr">
        <is>
          <t>B 加工可得</t>
        </is>
      </c>
      <c r="L8" s="5" t="inlineStr">
        <is>
          <t>年度对比柱状图</t>
        </is>
      </c>
      <c r="M8" s="5" t="inlineStr">
        <is>
          <t>窝数直接；母猪口径同PSY</t>
        </is>
      </c>
      <c r="N8" s="5" t="inlineStr">
        <is>
          <t>B</t>
        </is>
      </c>
    </row>
    <row r="9" ht="40" customHeight="1">
      <c r="A9" s="4" t="inlineStr">
        <is>
          <t>繁殖性能</t>
        </is>
      </c>
      <c r="B9" s="5" t="inlineStr">
        <is>
          <t>母猪年淘汰率</t>
        </is>
      </c>
      <c r="C9" s="5" t="inlineStr">
        <is>
          <t>%</t>
        </is>
      </c>
      <c r="D9" s="5" t="inlineStr">
        <is>
          <t>年淘汰母猪数÷年平均存栏能繁母猪数</t>
        </is>
      </c>
      <c r="E9" s="7" t="n">
        <v>0.25</v>
      </c>
      <c r="F9" s="7" t="n">
        <v>0.35</v>
      </c>
      <c r="G9" s="7" t="n">
        <v>0.3</v>
      </c>
      <c r="H9" s="5" t="inlineStr">
        <is>
          <t>02-16、02-06</t>
        </is>
      </c>
      <c r="I9" s="5" t="inlineStr">
        <is>
          <t>02-16 F性别、H数量（筛选母猪）</t>
        </is>
      </c>
      <c r="J9" s="5" t="inlineStr">
        <is>
          <t>常规</t>
        </is>
      </c>
      <c r="K9" s="5" t="inlineStr">
        <is>
          <t>B 加工可得</t>
        </is>
      </c>
      <c r="L9" s="5" t="inlineStr">
        <is>
          <t>饼图、年度趋势</t>
        </is>
      </c>
      <c r="M9" s="5" t="inlineStr">
        <is>
          <t>02-16含性别字段，可筛选母猪淘汰量</t>
        </is>
      </c>
      <c r="N9" s="5" t="inlineStr">
        <is>
          <t>B</t>
        </is>
      </c>
    </row>
    <row r="10" ht="40" customHeight="1">
      <c r="A10" s="4" t="inlineStr">
        <is>
          <t>生长育肥</t>
        </is>
      </c>
      <c r="B10" s="5" t="inlineStr">
        <is>
          <t>断奶成活率</t>
        </is>
      </c>
      <c r="C10" s="5" t="inlineStr">
        <is>
          <t>%</t>
        </is>
      </c>
      <c r="D10" s="5" t="inlineStr">
        <is>
          <t>断奶仔猪数÷出生活仔数</t>
        </is>
      </c>
      <c r="E10" s="7" t="n">
        <v>0.9</v>
      </c>
      <c r="F10" s="7" t="n">
        <v>0.95</v>
      </c>
      <c r="G10" s="7" t="n">
        <v>0.96</v>
      </c>
      <c r="H10" s="5" t="inlineStr">
        <is>
          <t>02-10</t>
        </is>
      </c>
      <c r="I10" s="5" t="inlineStr">
        <is>
          <t>L成活率(%)字段已内置，I断奶头数/E产活仔数可复核</t>
        </is>
      </c>
      <c r="J10" s="5" t="inlineStr">
        <is>
          <t>常规</t>
        </is>
      </c>
      <c r="K10" s="5" t="inlineStr">
        <is>
          <t>A 直接可得</t>
        </is>
      </c>
      <c r="L10" s="5" t="inlineStr">
        <is>
          <t>月度折线图</t>
        </is>
      </c>
      <c r="M10" s="5" t="inlineStr">
        <is>
          <t>档案表已直接给出成活率列，可直接汇总</t>
        </is>
      </c>
      <c r="N10" s="5" t="inlineStr">
        <is>
          <t>A</t>
        </is>
      </c>
    </row>
    <row r="11" ht="40" customHeight="1">
      <c r="A11" s="4" t="inlineStr">
        <is>
          <t>生长育肥</t>
        </is>
      </c>
      <c r="B11" s="5" t="inlineStr">
        <is>
          <t>全程成活率</t>
        </is>
      </c>
      <c r="C11" s="5" t="inlineStr">
        <is>
          <t>%</t>
        </is>
      </c>
      <c r="D11" s="5" t="inlineStr">
        <is>
          <t>出栏肥猪数÷出生活仔数（按批次匹配）</t>
        </is>
      </c>
      <c r="E11" s="7" t="n">
        <v>0.85</v>
      </c>
      <c r="F11" s="7" t="n">
        <v>0.92</v>
      </c>
      <c r="G11" s="7" t="n">
        <v>0.93</v>
      </c>
      <c r="H11" s="5" t="inlineStr">
        <is>
          <t>06-01、02-09</t>
        </is>
      </c>
      <c r="I11" s="5" t="inlineStr">
        <is>
          <t>06-01 I数量；02-09 H活仔数</t>
        </is>
      </c>
      <c r="J11" s="5" t="inlineStr">
        <is>
          <t>核心</t>
        </is>
      </c>
      <c r="K11" s="5" t="inlineStr">
        <is>
          <t>B 加工可得</t>
        </is>
      </c>
      <c r="L11" s="5" t="inlineStr">
        <is>
          <t>KPI卡片、阶段堆叠图</t>
        </is>
      </c>
      <c r="M11" s="5" t="inlineStr">
        <is>
          <t>出生与出栏相隔约6个月，须用批次号贯通后匹配</t>
        </is>
      </c>
      <c r="N11" s="5" t="inlineStr">
        <is>
          <t>B</t>
        </is>
      </c>
    </row>
    <row r="12" ht="40" customHeight="1">
      <c r="A12" s="4" t="inlineStr">
        <is>
          <t>生长育肥</t>
        </is>
      </c>
      <c r="B12" s="5" t="inlineStr">
        <is>
          <t>全场月死亡率</t>
        </is>
      </c>
      <c r="C12" s="5" t="inlineStr">
        <is>
          <t>%</t>
        </is>
      </c>
      <c r="D12" s="5" t="inlineStr">
        <is>
          <t>当月死亡头数÷月均存栏（(期初+期末)/2）</t>
        </is>
      </c>
      <c r="E12" s="5" t="n"/>
      <c r="F12" s="7" t="n">
        <v>0.015</v>
      </c>
      <c r="G12" s="7" t="n">
        <v>0.01</v>
      </c>
      <c r="H12" s="5" t="inlineStr">
        <is>
          <t>01-07、05-01</t>
        </is>
      </c>
      <c r="I12" s="5" t="inlineStr">
        <is>
          <t>01-07 I死亡、D期初存栏、L期末存栏</t>
        </is>
      </c>
      <c r="J12" s="5" t="inlineStr">
        <is>
          <t>核心</t>
        </is>
      </c>
      <c r="K12" s="5" t="inlineStr">
        <is>
          <t>A 直接可得</t>
        </is>
      </c>
      <c r="L12" s="5" t="inlineStr">
        <is>
          <t>月度折线、分舍热力图</t>
        </is>
      </c>
      <c r="M12" s="5" t="inlineStr">
        <is>
          <t>01-07存栏月报字段直接支撑，阈值1.5%</t>
        </is>
      </c>
      <c r="N12" s="5" t="inlineStr">
        <is>
          <t>A</t>
        </is>
      </c>
    </row>
    <row r="13" ht="40" customHeight="1">
      <c r="A13" s="4" t="inlineStr">
        <is>
          <t>生长育肥</t>
        </is>
      </c>
      <c r="B13" s="5" t="inlineStr">
        <is>
          <t>日均增重</t>
        </is>
      </c>
      <c r="C13" s="5" t="inlineStr">
        <is>
          <t>g/天</t>
        </is>
      </c>
      <c r="D13" s="5" t="inlineStr">
        <is>
          <t>(末重-初重)÷饲养天数</t>
        </is>
      </c>
      <c r="E13" s="6" t="n">
        <v>700</v>
      </c>
      <c r="F13" s="6" t="n">
        <v>900</v>
      </c>
      <c r="G13" s="6" t="n">
        <v>900</v>
      </c>
      <c r="H13" s="5" t="inlineStr">
        <is>
          <t>02-12</t>
        </is>
      </c>
      <c r="I13" s="5" t="inlineStr">
        <is>
          <t>K日增重(g)字段已内置；H总重、G日龄可复核</t>
        </is>
      </c>
      <c r="J13" s="5" t="inlineStr">
        <is>
          <t>核心</t>
        </is>
      </c>
      <c r="K13" s="5" t="inlineStr">
        <is>
          <t>A 直接可得</t>
        </is>
      </c>
      <c r="L13" s="5" t="inlineStr">
        <is>
          <t>日龄增重曲线、品种对比</t>
        </is>
      </c>
      <c r="M13" s="5" t="inlineStr">
        <is>
          <t>档案表直接给出日增重列</t>
        </is>
      </c>
      <c r="N13" s="5" t="inlineStr">
        <is>
          <t>A</t>
        </is>
      </c>
    </row>
    <row r="14" ht="40" customHeight="1">
      <c r="A14" s="4" t="inlineStr">
        <is>
          <t>生长育肥</t>
        </is>
      </c>
      <c r="B14" s="5" t="inlineStr">
        <is>
          <t>料肉比 FCR</t>
        </is>
      </c>
      <c r="C14" s="5" t="inlineStr">
        <is>
          <t>:1</t>
        </is>
      </c>
      <c r="D14" s="5" t="inlineStr">
        <is>
          <t>统计期总耗料量÷总增重</t>
        </is>
      </c>
      <c r="E14" s="6" t="n">
        <v>3</v>
      </c>
      <c r="F14" s="6" t="n">
        <v>3.4</v>
      </c>
      <c r="G14" s="6" t="n">
        <v>2.9</v>
      </c>
      <c r="H14" s="5" t="inlineStr">
        <is>
          <t>02-01/03-07、02-12</t>
        </is>
      </c>
      <c r="I14" s="5" t="inlineStr">
        <is>
          <t>02-01 J饲喂量或03-07 H使用量；02-12 H总重/增重</t>
        </is>
      </c>
      <c r="J14" s="5" t="inlineStr">
        <is>
          <t>核心</t>
        </is>
      </c>
      <c r="K14" s="5" t="inlineStr">
        <is>
          <t>B 加工可得</t>
        </is>
      </c>
      <c r="L14" s="5" t="inlineStr">
        <is>
          <t>月度折线、分舍条形图</t>
        </is>
      </c>
      <c r="M14" s="5" t="inlineStr">
        <is>
          <t>耗料与增重需按舍号/生长阶段/批次匹配后汇总</t>
        </is>
      </c>
      <c r="N14" s="5" t="inlineStr">
        <is>
          <t>B</t>
        </is>
      </c>
    </row>
    <row r="15" ht="40" customHeight="1">
      <c r="A15" s="4" t="inlineStr">
        <is>
          <t>生长育肥</t>
        </is>
      </c>
      <c r="B15" s="5" t="inlineStr">
        <is>
          <t>出栏均重</t>
        </is>
      </c>
      <c r="C15" s="5" t="inlineStr">
        <is>
          <t>kg</t>
        </is>
      </c>
      <c r="D15" s="5" t="inlineStr">
        <is>
          <t>出栏总重÷出栏头数</t>
        </is>
      </c>
      <c r="E15" s="6" t="n">
        <v>110</v>
      </c>
      <c r="F15" s="6" t="n">
        <v>130</v>
      </c>
      <c r="G15" s="6" t="n">
        <v>125</v>
      </c>
      <c r="H15" s="5" t="inlineStr">
        <is>
          <t>06-01</t>
        </is>
      </c>
      <c r="I15" s="5" t="inlineStr">
        <is>
          <t>H平均体重、I数量（可直接加权）</t>
        </is>
      </c>
      <c r="J15" s="5" t="inlineStr">
        <is>
          <t>常规</t>
        </is>
      </c>
      <c r="K15" s="5" t="inlineStr">
        <is>
          <t>A 直接可得</t>
        </is>
      </c>
      <c r="L15" s="5" t="inlineStr">
        <is>
          <t>批次分布箱线图</t>
        </is>
      </c>
      <c r="M15" s="5" t="inlineStr">
        <is>
          <t>字段齐备，按批次加权平均</t>
        </is>
      </c>
      <c r="N15" s="5" t="inlineStr">
        <is>
          <t>A</t>
        </is>
      </c>
    </row>
    <row r="16" ht="40" customHeight="1">
      <c r="A16" s="4" t="inlineStr">
        <is>
          <t>生长育肥</t>
        </is>
      </c>
      <c r="B16" s="5" t="inlineStr">
        <is>
          <t>饲养周期</t>
        </is>
      </c>
      <c r="C16" s="5" t="inlineStr">
        <is>
          <t>天</t>
        </is>
      </c>
      <c r="D16" s="5" t="inlineStr">
        <is>
          <t>出栏日期-对应批次出生日期</t>
        </is>
      </c>
      <c r="E16" s="6" t="n">
        <v>160</v>
      </c>
      <c r="F16" s="6" t="n">
        <v>180</v>
      </c>
      <c r="G16" s="6" t="n">
        <v>170</v>
      </c>
      <c r="H16" s="5" t="inlineStr">
        <is>
          <t>06-01、02-09</t>
        </is>
      </c>
      <c r="I16" s="5" t="inlineStr">
        <is>
          <t>06-01 G年龄/K出栏日期、C批次号；02-09 B分娩日期</t>
        </is>
      </c>
      <c r="J16" s="5" t="inlineStr">
        <is>
          <t>常规</t>
        </is>
      </c>
      <c r="K16" s="5" t="inlineStr">
        <is>
          <t>B 加工可得</t>
        </is>
      </c>
      <c r="L16" s="5" t="inlineStr">
        <is>
          <t>年度趋势折线</t>
        </is>
      </c>
      <c r="M16" s="5" t="inlineStr">
        <is>
          <t>06-01已有年龄列可近似；精确值需批次号关联分娩日期</t>
        </is>
      </c>
      <c r="N16" s="5" t="inlineStr">
        <is>
          <t>B</t>
        </is>
      </c>
    </row>
    <row r="17" ht="40" customHeight="1">
      <c r="A17" s="4" t="inlineStr">
        <is>
          <t>健康合规</t>
        </is>
      </c>
      <c r="B17" s="5" t="inlineStr">
        <is>
          <t>发病率</t>
        </is>
      </c>
      <c r="C17" s="5" t="inlineStr">
        <is>
          <t>%</t>
        </is>
      </c>
      <c r="D17" s="5" t="inlineStr">
        <is>
          <t>发病头数÷同期存栏头数</t>
        </is>
      </c>
      <c r="E17" s="5" t="n"/>
      <c r="F17" s="5" t="n"/>
      <c r="G17" s="5" t="n"/>
      <c r="H17" s="5" t="inlineStr">
        <is>
          <t>02-17、04-08/09、01-07</t>
        </is>
      </c>
      <c r="I17" s="5" t="inlineStr">
        <is>
          <t>02-17异常情况、04-09疫病诊断、01-07存栏</t>
        </is>
      </c>
      <c r="J17" s="5" t="inlineStr">
        <is>
          <t>常规</t>
        </is>
      </c>
      <c r="K17" s="5" t="inlineStr">
        <is>
          <t>B 加工可得</t>
        </is>
      </c>
      <c r="L17" s="5" t="inlineStr">
        <is>
          <t>病种结构饼图、月度热力</t>
        </is>
      </c>
      <c r="M17" s="5" t="inlineStr">
        <is>
          <t>无统一参考值，按本场基线与病种分别统计</t>
        </is>
      </c>
      <c r="N17" s="5" t="inlineStr">
        <is>
          <t>B</t>
        </is>
      </c>
    </row>
    <row r="18" ht="40" customHeight="1">
      <c r="A18" s="4" t="inlineStr">
        <is>
          <t>健康合规</t>
        </is>
      </c>
      <c r="B18" s="5" t="inlineStr">
        <is>
          <t>免疫抗体合格率</t>
        </is>
      </c>
      <c r="C18" s="5" t="inlineStr">
        <is>
          <t>%</t>
        </is>
      </c>
      <c r="D18" s="5" t="inlineStr">
        <is>
          <t>抗体合格数÷检测样本数</t>
        </is>
      </c>
      <c r="E18" s="7" t="n">
        <v>0.9</v>
      </c>
      <c r="F18" s="5" t="n"/>
      <c r="G18" s="7" t="n">
        <v>0.95</v>
      </c>
      <c r="H18" s="5" t="inlineStr">
        <is>
          <t>04-03</t>
        </is>
      </c>
      <c r="I18" s="5" t="inlineStr">
        <is>
          <t>K检测数量、L合格数、M抗体合格率(%)已内置</t>
        </is>
      </c>
      <c r="J18" s="5" t="inlineStr">
        <is>
          <t>核心</t>
        </is>
      </c>
      <c r="K18" s="5" t="inlineStr">
        <is>
          <t>A 直接可得</t>
        </is>
      </c>
      <c r="L18" s="5" t="inlineStr">
        <is>
          <t>疫苗品类柱状图、季度趋势</t>
        </is>
      </c>
      <c r="M18" s="5" t="inlineStr">
        <is>
          <t>档案表已内置合格率列，强制免疫病种≥90%</t>
        </is>
      </c>
      <c r="N18" s="5" t="inlineStr">
        <is>
          <t>A</t>
        </is>
      </c>
    </row>
    <row r="19" ht="40" customHeight="1">
      <c r="A19" s="4" t="inlineStr">
        <is>
          <t>健康合规</t>
        </is>
      </c>
      <c r="B19" s="5" t="inlineStr">
        <is>
          <t>免疫密度</t>
        </is>
      </c>
      <c r="C19" s="5" t="inlineStr">
        <is>
          <t>%</t>
        </is>
      </c>
      <c r="D19" s="5" t="inlineStr">
        <is>
          <t>实际免疫头数÷应免疫头数</t>
        </is>
      </c>
      <c r="E19" s="5" t="n"/>
      <c r="F19" s="5" t="n"/>
      <c r="G19" s="7" t="n">
        <v>1</v>
      </c>
      <c r="H19" s="5" t="inlineStr">
        <is>
          <t>04-02、04-01</t>
        </is>
      </c>
      <c r="I19" s="5" t="inlineStr">
        <is>
          <t>04-02 G畜禽数量；04-01 J计划免疫数量</t>
        </is>
      </c>
      <c r="J19" s="5" t="inlineStr">
        <is>
          <t>核心</t>
        </is>
      </c>
      <c r="K19" s="5" t="inlineStr">
        <is>
          <t>B 加工可得</t>
        </is>
      </c>
      <c r="L19" s="5" t="inlineStr">
        <is>
          <t>进度条、分舍完成率</t>
        </is>
      </c>
      <c r="M19" s="5" t="inlineStr">
        <is>
          <t>实免与计划按疫苗/批次比对，强制免疫须100%</t>
        </is>
      </c>
      <c r="N19" s="5" t="inlineStr">
        <is>
          <t>B</t>
        </is>
      </c>
    </row>
    <row r="20" ht="40" customHeight="1">
      <c r="A20" s="4" t="inlineStr">
        <is>
          <t>健康合规</t>
        </is>
      </c>
      <c r="B20" s="5" t="inlineStr">
        <is>
          <t>兽药休药期合规率</t>
        </is>
      </c>
      <c r="C20" s="5" t="inlineStr">
        <is>
          <t>%</t>
        </is>
      </c>
      <c r="D20" s="5" t="inlineStr">
        <is>
          <t>休药期满后出栏批次÷出栏总批次</t>
        </is>
      </c>
      <c r="E20" s="5" t="n"/>
      <c r="F20" s="5" t="n"/>
      <c r="G20" s="7" t="n">
        <v>1</v>
      </c>
      <c r="H20" s="5" t="inlineStr">
        <is>
          <t>03-08、06-01</t>
        </is>
      </c>
      <c r="I20" s="5" t="inlineStr">
        <is>
          <t>03-08 R最后用药日期、S休药期、T禁售截止日；06-01 K出栏日期</t>
        </is>
      </c>
      <c r="J20" s="5" t="inlineStr">
        <is>
          <t>核心</t>
        </is>
      </c>
      <c r="K20" s="5" t="inlineStr">
        <is>
          <t>B 加工可得</t>
        </is>
      </c>
      <c r="L20" s="5" t="inlineStr">
        <is>
          <t>合规仪表盘、异常批次清单</t>
        </is>
      </c>
      <c r="M20" s="5" t="inlineStr">
        <is>
          <t>禁售截止日字段已具备，按批次/舍号与出栏日期比对即可自动预警</t>
        </is>
      </c>
      <c r="N20" s="5" t="inlineStr">
        <is>
          <t>B</t>
        </is>
      </c>
    </row>
    <row r="21" ht="40" customHeight="1">
      <c r="A21" s="4" t="inlineStr">
        <is>
          <t>健康合规</t>
        </is>
      </c>
      <c r="B21" s="5" t="inlineStr">
        <is>
          <t>病死畜禽无害化处理率</t>
        </is>
      </c>
      <c r="C21" s="5" t="inlineStr">
        <is>
          <t>%</t>
        </is>
      </c>
      <c r="D21" s="5" t="inlineStr">
        <is>
          <t>无害化处理病死数÷病死总数</t>
        </is>
      </c>
      <c r="E21" s="5" t="n"/>
      <c r="F21" s="5" t="n"/>
      <c r="G21" s="7" t="n">
        <v>1</v>
      </c>
      <c r="H21" s="5" t="inlineStr">
        <is>
          <t>05-01、01-07</t>
        </is>
      </c>
      <c r="I21" s="5" t="inlineStr">
        <is>
          <t>05-01 I数量/R处理日期；01-07 I死亡</t>
        </is>
      </c>
      <c r="J21" s="5" t="inlineStr">
        <is>
          <t>核心</t>
        </is>
      </c>
      <c r="K21" s="5" t="inlineStr">
        <is>
          <t>B 加工可得</t>
        </is>
      </c>
      <c r="L21" s="5" t="inlineStr">
        <is>
          <t>达标卡片、处理方式饼图</t>
        </is>
      </c>
      <c r="M21" s="5" t="inlineStr">
        <is>
          <t>两表死亡数应勾稽相等，可自动核对漏处理</t>
        </is>
      </c>
      <c r="N21" s="5" t="inlineStr">
        <is>
          <t>B</t>
        </is>
      </c>
    </row>
    <row r="22" ht="40" customHeight="1">
      <c r="A22" s="4" t="inlineStr">
        <is>
          <t>健康合规</t>
        </is>
      </c>
      <c r="B22" s="5" t="inlineStr">
        <is>
          <t>畜禽标识佩戴率</t>
        </is>
      </c>
      <c r="C22" s="5" t="inlineStr">
        <is>
          <t>%</t>
        </is>
      </c>
      <c r="D22" s="5" t="inlineStr">
        <is>
          <t>实际加施标识数÷应加施标识数</t>
        </is>
      </c>
      <c r="E22" s="5" t="n"/>
      <c r="F22" s="5" t="n"/>
      <c r="G22" s="7" t="n">
        <v>1</v>
      </c>
      <c r="H22" s="5" t="inlineStr">
        <is>
          <t>01-06、01-07/02-09</t>
        </is>
      </c>
      <c r="I22" s="5" t="inlineStr">
        <is>
          <t>01-06标识编码；新生数02-09、存栏01-07</t>
        </is>
      </c>
      <c r="J22" s="5" t="inlineStr">
        <is>
          <t>常规</t>
        </is>
      </c>
      <c r="K22" s="5" t="inlineStr">
        <is>
          <t>B 加工可得</t>
        </is>
      </c>
      <c r="L22" s="5" t="inlineStr">
        <is>
          <t>完成率仪表盘</t>
        </is>
      </c>
      <c r="M22" s="5" t="inlineStr">
        <is>
          <t>应佩=新生+补挂，实佩取01-06记录</t>
        </is>
      </c>
      <c r="N22" s="5" t="inlineStr">
        <is>
          <t>B</t>
        </is>
      </c>
    </row>
    <row r="23" ht="40" customHeight="1">
      <c r="A23" s="4" t="inlineStr">
        <is>
          <t>健康合规</t>
        </is>
      </c>
      <c r="B23" s="5" t="inlineStr">
        <is>
          <t>出栏检疫合格率</t>
        </is>
      </c>
      <c r="C23" s="5" t="inlineStr">
        <is>
          <t>%</t>
        </is>
      </c>
      <c r="D23" s="5" t="inlineStr">
        <is>
          <t>检疫合格出栏批次÷出栏总批次</t>
        </is>
      </c>
      <c r="E23" s="5" t="n"/>
      <c r="F23" s="5" t="n"/>
      <c r="G23" s="7" t="n">
        <v>1</v>
      </c>
      <c r="H23" s="5" t="inlineStr">
        <is>
          <t>06-01</t>
        </is>
      </c>
      <c r="I23" s="5" t="inlineStr">
        <is>
          <t>T检疫结果、U检疫合格证明号</t>
        </is>
      </c>
      <c r="J23" s="5" t="inlineStr">
        <is>
          <t>常规</t>
        </is>
      </c>
      <c r="K23" s="5" t="inlineStr">
        <is>
          <t>A 直接可得</t>
        </is>
      </c>
      <c r="L23" s="5" t="inlineStr">
        <is>
          <t>达标卡片、退回清单</t>
        </is>
      </c>
      <c r="M23" s="5" t="inlineStr">
        <is>
          <t>按检疫结果字段直接筛选</t>
        </is>
      </c>
      <c r="N23" s="5" t="inlineStr">
        <is>
          <t>A</t>
        </is>
      </c>
    </row>
    <row r="24" ht="40" customHeight="1">
      <c r="A24" s="4" t="inlineStr">
        <is>
          <t>环境运营</t>
        </is>
      </c>
      <c r="B24" s="5" t="inlineStr">
        <is>
          <t>舍内温度达标率</t>
        </is>
      </c>
      <c r="C24" s="5" t="inlineStr">
        <is>
          <t>%</t>
        </is>
      </c>
      <c r="D24" s="5" t="inlineStr">
        <is>
          <t>温度达标记录次数÷总记录次数（按阶段阈值）</t>
        </is>
      </c>
      <c r="E24" s="7" t="n">
        <v>0.9</v>
      </c>
      <c r="F24" s="5" t="n"/>
      <c r="G24" s="7" t="n">
        <v>0.95</v>
      </c>
      <c r="H24" s="5" t="inlineStr">
        <is>
          <t>02-03</t>
        </is>
      </c>
      <c r="I24" s="5" t="inlineStr">
        <is>
          <t>C上午温度、D下午温度（分阶段阈值判定）</t>
        </is>
      </c>
      <c r="J24" s="5" t="inlineStr">
        <is>
          <t>常规</t>
        </is>
      </c>
      <c r="K24" s="5" t="inlineStr">
        <is>
          <t>B 加工可得</t>
        </is>
      </c>
      <c r="L24" s="5" t="inlineStr">
        <is>
          <t>分舍温度曲线、达标率进度条</t>
        </is>
      </c>
      <c r="M24" s="5" t="inlineStr">
        <is>
          <t>温度值直接，需配置各生长阶段阈值规则</t>
        </is>
      </c>
      <c r="N24" s="5" t="inlineStr">
        <is>
          <t>B</t>
        </is>
      </c>
    </row>
    <row r="25" ht="40" customHeight="1">
      <c r="A25" s="4" t="inlineStr">
        <is>
          <t>环境运营</t>
        </is>
      </c>
      <c r="B25" s="5" t="inlineStr">
        <is>
          <t>舍内氨气浓度</t>
        </is>
      </c>
      <c r="C25" s="5" t="inlineStr">
        <is>
          <t>mg/m³</t>
        </is>
      </c>
      <c r="D25" s="5" t="inlineStr">
        <is>
          <t>环境实测值（日/班次）</t>
        </is>
      </c>
      <c r="E25" s="5" t="n"/>
      <c r="F25" s="6" t="n">
        <v>20</v>
      </c>
      <c r="G25" s="6" t="n">
        <v>15</v>
      </c>
      <c r="H25" s="5" t="inlineStr">
        <is>
          <t>02-03</t>
        </is>
      </c>
      <c r="I25" s="5" t="inlineStr">
        <is>
          <t>H氨气浓度(mg/m³)</t>
        </is>
      </c>
      <c r="J25" s="5" t="inlineStr">
        <is>
          <t>常规</t>
        </is>
      </c>
      <c r="K25" s="5" t="inlineStr">
        <is>
          <t>A 直接可得</t>
        </is>
      </c>
      <c r="L25" s="5" t="inlineStr">
        <is>
          <t>实时趋势折线、阈值预警线</t>
        </is>
      </c>
      <c r="M25" s="5" t="inlineStr">
        <is>
          <t>字段直接，限值20mg/m³</t>
        </is>
      </c>
      <c r="N25" s="5" t="inlineStr">
        <is>
          <t>A</t>
        </is>
      </c>
    </row>
    <row r="26" ht="40" customHeight="1">
      <c r="A26" s="4" t="inlineStr">
        <is>
          <t>环境运营</t>
        </is>
      </c>
      <c r="B26" s="5" t="inlineStr">
        <is>
          <t>氨气抽检达标率</t>
        </is>
      </c>
      <c r="C26" s="5" t="inlineStr">
        <is>
          <t>%</t>
        </is>
      </c>
      <c r="D26" s="5" t="inlineStr">
        <is>
          <t>达标抽检次数÷总抽检次数</t>
        </is>
      </c>
      <c r="E26" s="5" t="n"/>
      <c r="F26" s="5" t="n"/>
      <c r="G26" s="7" t="n">
        <v>0.95</v>
      </c>
      <c r="H26" s="5" t="inlineStr">
        <is>
          <t>02-03</t>
        </is>
      </c>
      <c r="I26" s="5" t="inlineStr">
        <is>
          <t>H氨气浓度按≤20mg/m³判定</t>
        </is>
      </c>
      <c r="J26" s="5" t="inlineStr">
        <is>
          <t>常规</t>
        </is>
      </c>
      <c r="K26" s="5" t="inlineStr">
        <is>
          <t>B 加工可得</t>
        </is>
      </c>
      <c r="L26" s="5" t="inlineStr">
        <is>
          <t>达标率柱状图</t>
        </is>
      </c>
      <c r="M26" s="5" t="inlineStr">
        <is>
          <t>在原始值基础上做阈值判定</t>
        </is>
      </c>
      <c r="N26" s="5" t="inlineStr">
        <is>
          <t>B</t>
        </is>
      </c>
    </row>
    <row r="27" ht="40" customHeight="1">
      <c r="A27" s="4" t="inlineStr">
        <is>
          <t>成本效益</t>
        </is>
      </c>
      <c r="B27" s="5" t="inlineStr">
        <is>
          <t>头均饲料成本</t>
        </is>
      </c>
      <c r="C27" s="5" t="inlineStr">
        <is>
          <t>元</t>
        </is>
      </c>
      <c r="D27" s="5" t="inlineStr">
        <is>
          <t>统计期饲料投入金额÷出栏头数</t>
        </is>
      </c>
      <c r="E27" s="5" t="n"/>
      <c r="F27" s="5" t="n"/>
      <c r="G27" s="5" t="n"/>
      <c r="H27" s="5" t="inlineStr">
        <is>
          <t>03-01、03-07、06-01</t>
        </is>
      </c>
      <c r="I27" s="5" t="inlineStr">
        <is>
          <t>03-01 M单价/N金额；03-07 H使用量；06-01出栏数</t>
        </is>
      </c>
      <c r="J27" s="5" t="inlineStr">
        <is>
          <t>核心</t>
        </is>
      </c>
      <c r="K27" s="5" t="inlineStr">
        <is>
          <t>B 加工可得</t>
        </is>
      </c>
      <c r="L27" s="5" t="inlineStr">
        <is>
          <t>成本结构堆叠图、月度趋势</t>
        </is>
      </c>
      <c r="M27" s="5" t="inlineStr">
        <is>
          <t>采购表含单价金额；按批号/名称加权匹配消耗，饲料约占总成本60%-70%</t>
        </is>
      </c>
      <c r="N27" s="5" t="inlineStr">
        <is>
          <t>B</t>
        </is>
      </c>
    </row>
    <row r="28" ht="40" customHeight="1">
      <c r="A28" s="4" t="inlineStr">
        <is>
          <t>成本效益</t>
        </is>
      </c>
      <c r="B28" s="5" t="inlineStr">
        <is>
          <t>头均兽药成本</t>
        </is>
      </c>
      <c r="C28" s="5" t="inlineStr">
        <is>
          <t>元</t>
        </is>
      </c>
      <c r="D28" s="5" t="inlineStr">
        <is>
          <t>统计期兽药投入金额÷出栏头数</t>
        </is>
      </c>
      <c r="E28" s="6" t="n">
        <v>50</v>
      </c>
      <c r="F28" s="6" t="n">
        <v>120</v>
      </c>
      <c r="G28" s="5" t="n"/>
      <c r="H28" s="5" t="inlineStr">
        <is>
          <t>03-01、03-08、06-01</t>
        </is>
      </c>
      <c r="I28" s="5" t="inlineStr">
        <is>
          <t>03-01兽药类N金额；03-08用药记录；06-01出栏数</t>
        </is>
      </c>
      <c r="J28" s="5" t="inlineStr">
        <is>
          <t>常规</t>
        </is>
      </c>
      <c r="K28" s="5" t="inlineStr">
        <is>
          <t>B 加工可得</t>
        </is>
      </c>
      <c r="L28" s="5" t="inlineStr">
        <is>
          <t>月度费用趋势</t>
        </is>
      </c>
      <c r="M28" s="5" t="inlineStr">
        <is>
          <t>采购金额按期间归集，03-08可按畜群分摊</t>
        </is>
      </c>
      <c r="N28" s="5" t="inlineStr">
        <is>
          <t>B</t>
        </is>
      </c>
    </row>
    <row r="29" ht="40" customHeight="1">
      <c r="A29" s="4" t="inlineStr">
        <is>
          <t>成本效益</t>
        </is>
      </c>
      <c r="B29" s="5" t="inlineStr">
        <is>
          <t>全程头均总成本</t>
        </is>
      </c>
      <c r="C29" s="5" t="inlineStr">
        <is>
          <t>元</t>
        </is>
      </c>
      <c r="D29" s="5" t="inlineStr">
        <is>
          <t>(饲料+兽药+人工+折旧+能源+防疫)÷出栏头数</t>
        </is>
      </c>
      <c r="E29" s="5" t="n"/>
      <c r="F29" s="5" t="n"/>
      <c r="G29" s="5" t="n"/>
      <c r="H29" s="5" t="inlineStr">
        <is>
          <t>03-01 + 财务台账</t>
        </is>
      </c>
      <c r="I29" s="5" t="inlineStr">
        <is>
          <t>03-01物资成本可得；人工/折旧/能源档案无字段</t>
        </is>
      </c>
      <c r="J29" s="5" t="inlineStr">
        <is>
          <t>核心</t>
        </is>
      </c>
      <c r="K29" s="5" t="inlineStr">
        <is>
          <t>C 缺口需补采</t>
        </is>
      </c>
      <c r="L29" s="5" t="inlineStr">
        <is>
          <t>成本结构瀑布图、盈亏平衡图</t>
        </is>
      </c>
      <c r="M29" s="5" t="inlineStr">
        <is>
          <t>【缺口】现有档案无人工、折旧、能源金额字段，需增设月度费用台账或对接财务</t>
        </is>
      </c>
      <c r="N29" s="5" t="inlineStr">
        <is>
          <t>C</t>
        </is>
      </c>
    </row>
    <row r="30" ht="40" customHeight="1">
      <c r="A30" s="4" t="inlineStr">
        <is>
          <t>成本效益</t>
        </is>
      </c>
      <c r="B30" s="5" t="inlineStr">
        <is>
          <t>头均盈利</t>
        </is>
      </c>
      <c r="C30" s="5" t="inlineStr">
        <is>
          <t>元</t>
        </is>
      </c>
      <c r="D30" s="5" t="inlineStr">
        <is>
          <t>出栏均重×销售单价-全程头均成本</t>
        </is>
      </c>
      <c r="E30" s="5" t="n"/>
      <c r="F30" s="5" t="n"/>
      <c r="G30" s="5" t="n"/>
      <c r="H30" s="5" t="inlineStr">
        <is>
          <t>06-01（缺单价）+财务</t>
        </is>
      </c>
      <c r="I30" s="5" t="inlineStr">
        <is>
          <t>06-01有数量体重、无单价；06-02产品销售有X单价/Y金额</t>
        </is>
      </c>
      <c r="J30" s="5" t="inlineStr">
        <is>
          <t>核心</t>
        </is>
      </c>
      <c r="K30" s="5" t="inlineStr">
        <is>
          <t>C 缺口需补采</t>
        </is>
      </c>
      <c r="L30" s="5" t="inlineStr">
        <is>
          <t>利润趋势折线、盈亏仪表盘</t>
        </is>
      </c>
      <c r="M30" s="5" t="inlineStr">
        <is>
          <t>【缺口】06-01出栏销售表无单价/金额列，建议补“单价(元/kg)、销售金额(元)”两列</t>
        </is>
      </c>
      <c r="N30" s="5" t="inlineStr">
        <is>
          <t>C</t>
        </is>
      </c>
    </row>
    <row r="31" ht="40" customHeight="1">
      <c r="A31" s="4" t="inlineStr">
        <is>
          <t>成本效益</t>
        </is>
      </c>
      <c r="B31" s="5" t="inlineStr">
        <is>
          <t>饲料成本占比</t>
        </is>
      </c>
      <c r="C31" s="5" t="inlineStr">
        <is>
          <t>%</t>
        </is>
      </c>
      <c r="D31" s="5" t="inlineStr">
        <is>
          <t>饲料成本÷总养殖成本</t>
        </is>
      </c>
      <c r="E31" s="7" t="n">
        <v>0.6</v>
      </c>
      <c r="F31" s="7" t="n">
        <v>0.7</v>
      </c>
      <c r="G31" s="5" t="n"/>
      <c r="H31" s="5" t="inlineStr">
        <is>
          <t>03-01 + 财务台账</t>
        </is>
      </c>
      <c r="I31" s="5" t="inlineStr">
        <is>
          <t>饲料金额与总成本（含补采费用）</t>
        </is>
      </c>
      <c r="J31" s="5" t="inlineStr">
        <is>
          <t>常规</t>
        </is>
      </c>
      <c r="K31" s="5" t="inlineStr">
        <is>
          <t>C 缺口需补采</t>
        </is>
      </c>
      <c r="L31" s="5" t="inlineStr">
        <is>
          <t>成本占比饼图</t>
        </is>
      </c>
      <c r="M31" s="5" t="inlineStr">
        <is>
          <t>依赖完整费用台账，缺口同头均总成本</t>
        </is>
      </c>
      <c r="N31" s="5" t="inlineStr">
        <is>
          <t>C</t>
        </is>
      </c>
    </row>
  </sheetData>
  <autoFilter ref="A3:N31"/>
  <mergeCells count="2">
    <mergeCell ref="A2:N2"/>
    <mergeCell ref="A1:N1"/>
  </mergeCells>
  <conditionalFormatting sqref="K4:K31">
    <cfRule type="expression" priority="1" dxfId="0">
      <formula>LEFT($K4,1)="C"</formula>
    </cfRule>
    <cfRule type="expression" priority="2" dxfId="1">
      <formula>LEFT($K4,1)="A"</formula>
    </cfRule>
  </conditionalFormatting>
  <conditionalFormatting sqref="N4:N31">
    <cfRule type="cellIs" priority="3" operator="equal" dxfId="0">
      <formula>"C"</formula>
    </cfRule>
    <cfRule type="cellIs" priority="4" operator="equal" dxfId="2">
      <formula>"A"</formula>
    </cfRule>
    <cfRule type="cellIs" priority="5" operator="equal" dxfId="3">
      <formula>"B"</formula>
    </cfRule>
  </conditionalFormatting>
  <conditionalFormatting sqref="J4:J31">
    <cfRule type="cellIs" priority="6" operator="equal" dxfId="4">
      <formula>"核心"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34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26" customHeight="1">
      <c r="A1" s="1" t="inlineStr">
        <is>
          <t>指标体系可行性验证报告（档案数据 → 指标 → 看板 全链路核查）</t>
        </is>
      </c>
    </row>
    <row r="3" ht="40" customHeight="1">
      <c r="A3" s="8" t="inlineStr">
        <is>
          <t>一、验证方法：以《畜禽养殖档案管理表格（全套）》73张表的真实字段为基准，逐项核查每个指标的输入字段是否存在、能否跨表关联、公式能否闭环计算；并在「③演算-数据录入」「④演算-指标计算」中用一个500头能繁母猪规模场的12个月模拟数据实跑全部公式（数据仅为演示，非真实行情）。</t>
        </is>
      </c>
    </row>
    <row r="5">
      <c r="A5" s="9" t="inlineStr">
        <is>
          <t>二、验证结论总览（公式实时统计自①指标库）</t>
        </is>
      </c>
    </row>
    <row r="6">
      <c r="A6" s="3" t="inlineStr">
        <is>
          <t>可得性评级</t>
        </is>
      </c>
      <c r="B6" s="3" t="inlineStr">
        <is>
          <t>指标数量</t>
        </is>
      </c>
      <c r="C6" s="3" t="inlineStr">
        <is>
          <t>占比</t>
        </is>
      </c>
      <c r="D6" s="3" t="inlineStr">
        <is>
          <t>含义</t>
        </is>
      </c>
    </row>
    <row r="7">
      <c r="A7" s="4" t="inlineStr">
        <is>
          <t>A 直接可得</t>
        </is>
      </c>
      <c r="B7" s="5">
        <f>COUNTIF('①指标库'!N4:N31,"A")</f>
        <v/>
      </c>
      <c r="C7" s="10">
        <f>B7/B10</f>
        <v/>
      </c>
      <c r="D7" s="4" t="inlineStr">
        <is>
          <t>档案现有字段可直接汇总，无需改造</t>
        </is>
      </c>
    </row>
    <row r="8">
      <c r="A8" s="4" t="inlineStr">
        <is>
          <t>B 加工可得</t>
        </is>
      </c>
      <c r="B8" s="5">
        <f>COUNTIF('①指标库'!N4:N31,"B")</f>
        <v/>
      </c>
      <c r="C8" s="10">
        <f>B8/B10</f>
        <v/>
      </c>
      <c r="D8" s="4" t="inlineStr">
        <is>
          <t>字段齐备，需跨表关联/批次匹配/阈值规则</t>
        </is>
      </c>
    </row>
    <row r="9">
      <c r="A9" s="4" t="inlineStr">
        <is>
          <t>C 缺口需补采</t>
        </is>
      </c>
      <c r="B9" s="5">
        <f>COUNTIF('①指标库'!N4:N31,"C")</f>
        <v/>
      </c>
      <c r="C9" s="10">
        <f>B9/B10</f>
        <v/>
      </c>
      <c r="D9" s="4" t="inlineStr">
        <is>
          <t>档案无对应字段，需补字段或对接财务台账</t>
        </is>
      </c>
    </row>
    <row r="10">
      <c r="A10" s="11" t="inlineStr">
        <is>
          <t>合计</t>
        </is>
      </c>
      <c r="B10" s="5">
        <f>SUM(B7:B9)</f>
        <v/>
      </c>
      <c r="C10" s="10">
        <f>SUM(C7:C9)</f>
        <v/>
      </c>
      <c r="D10" s="12" t="inlineStr">
        <is>
          <t>现有档案可支撑率 = A+B 占比</t>
        </is>
      </c>
    </row>
    <row r="11">
      <c r="A11" s="13" t="inlineStr">
        <is>
          <t>现有档案可支撑率（A+B）</t>
        </is>
      </c>
      <c r="B11" s="14">
        <f>B7+B8</f>
        <v/>
      </c>
      <c r="C11" s="15">
        <f>B11/B10</f>
        <v/>
      </c>
      <c r="D11" s="14" t="inlineStr">
        <is>
          <t>仅3项成本/收入类指标需要补采</t>
        </is>
      </c>
    </row>
    <row r="13">
      <c r="A13" s="9" t="inlineStr">
        <is>
          <t>三、关键缺口与补采方案（产品化迭代点）</t>
        </is>
      </c>
    </row>
    <row r="14">
      <c r="A14" s="3" t="inlineStr">
        <is>
          <t>序号</t>
        </is>
      </c>
      <c r="B14" s="3" t="inlineStr">
        <is>
          <t>缺口</t>
        </is>
      </c>
      <c r="C14" s="3" t="inlineStr">
        <is>
          <t>影响指标</t>
        </is>
      </c>
      <c r="D14" s="3" t="inlineStr">
        <is>
          <t>补采/改造方案</t>
        </is>
      </c>
      <c r="E14" s="3" t="inlineStr">
        <is>
          <t>落地难度</t>
        </is>
      </c>
    </row>
    <row r="15" ht="34" customHeight="1">
      <c r="A15" s="4" t="n">
        <v>1</v>
      </c>
      <c r="B15" s="5" t="inlineStr">
        <is>
          <t>06-01出栏销售表无单价、金额字段（06-02产品销售表已有）</t>
        </is>
      </c>
      <c r="C15" s="5" t="inlineStr">
        <is>
          <t>头均盈利、头均收入</t>
        </is>
      </c>
      <c r="D15" s="4" t="inlineStr">
        <is>
          <t>06-01增加“单价(元/kg)、销售金额(元)”两列，与06-02口径对齐</t>
        </is>
      </c>
      <c r="E15" s="5" t="inlineStr">
        <is>
          <t>低（改模板）</t>
        </is>
      </c>
    </row>
    <row r="16" ht="34" customHeight="1">
      <c r="A16" s="4" t="n">
        <v>2</v>
      </c>
      <c r="B16" s="5" t="inlineStr">
        <is>
          <t>档案无人工、折旧、能源、防疫服务费等金额字段</t>
        </is>
      </c>
      <c r="C16" s="5" t="inlineStr">
        <is>
          <t>头均总成本、成本结构、饲料成本占比</t>
        </is>
      </c>
      <c r="D16" s="4" t="inlineStr">
        <is>
          <t>增设《月度费用台账》（人工工资、水电燃料、资产折旧、防疫/检测/保险），或对接财务系统按月导出</t>
        </is>
      </c>
      <c r="E16" s="5" t="inlineStr">
        <is>
          <t>中（加1张表）</t>
        </is>
      </c>
    </row>
    <row r="17" ht="34" customHeight="1">
      <c r="A17" s="4" t="n">
        <v>3</v>
      </c>
      <c r="B17" s="5" t="inlineStr">
        <is>
          <t>01-07存栏月报无畜禽类别（能繁母猪/后备/公猪/仔猪/保育/育肥）</t>
        </is>
      </c>
      <c r="C17" s="5" t="inlineStr">
        <is>
          <t>PSY、MSY、年产胎次、母猪淘汰率</t>
        </is>
      </c>
      <c r="D17" s="4" t="inlineStr">
        <is>
          <t>01-07增加“畜禽类别”列；或按月从02-06种畜个体卡导出母猪群存栏</t>
        </is>
      </c>
      <c r="E17" s="5" t="inlineStr">
        <is>
          <t>低（改模板）</t>
        </is>
      </c>
    </row>
    <row r="18" ht="34" customHeight="1">
      <c r="A18" s="4" t="n">
        <v>4</v>
      </c>
      <c r="B18" s="5" t="inlineStr">
        <is>
          <t>跨表批次关联不统一（部分表仅有舍号/群体编号）</t>
        </is>
      </c>
      <c r="C18" s="5" t="inlineStr">
        <is>
          <t>全程成活率、饲养周期、料肉比、休药期合规率</t>
        </is>
      </c>
      <c r="D18" s="4" t="inlineStr">
        <is>
          <t>建立统一批次号规则，贯通02-09分娩→02-10断奶→02-01/02-12→03-08→06-01</t>
        </is>
      </c>
      <c r="E18" s="5" t="inlineStr">
        <is>
          <t>中（建规则）</t>
        </is>
      </c>
    </row>
    <row r="19" ht="34" customHeight="1">
      <c r="A19" s="4" t="n">
        <v>5</v>
      </c>
      <c r="B19" s="5" t="inlineStr">
        <is>
          <t>采购单价与实际消耗未打通</t>
        </is>
      </c>
      <c r="C19" s="5" t="inlineStr">
        <is>
          <t>头均饲料/兽药成本</t>
        </is>
      </c>
      <c r="D19" s="4" t="inlineStr">
        <is>
          <t>03-01采购与03-07/03-08消耗按批号/名称匹配，按月加权平均单价核算</t>
        </is>
      </c>
      <c r="E19" s="5" t="inlineStr">
        <is>
          <t>中（配公式）</t>
        </is>
      </c>
    </row>
    <row r="21">
      <c r="A21" s="9" t="inlineStr">
        <is>
          <t>四、公式闭环验证结论（详见④演算-指标计算，自动判定）</t>
        </is>
      </c>
    </row>
    <row r="22">
      <c r="A22" s="3" t="inlineStr">
        <is>
          <t>验证项</t>
        </is>
      </c>
      <c r="B22" s="3" t="inlineStr">
        <is>
          <t>期望结果</t>
        </is>
      </c>
      <c r="C22" s="3" t="inlineStr">
        <is>
          <t>实际结果（公式）</t>
        </is>
      </c>
      <c r="D22" s="3" t="inlineStr">
        <is>
          <t>判定</t>
        </is>
      </c>
    </row>
    <row r="23" ht="30" customHeight="1">
      <c r="A23" s="4" t="inlineStr">
        <is>
          <t>存栏勾稽：12个月期末=期初+出生+引进-出栏-死亡-淘汰-调出</t>
        </is>
      </c>
      <c r="B23" s="5" t="inlineStr">
        <is>
          <t>12个月全部平衡</t>
        </is>
      </c>
      <c r="C23" s="5">
        <f>COUNTIF('③演算-数据录入'!AL6:AL17,"不平衡")&amp;"个不平衡月"</f>
        <v/>
      </c>
      <c r="D23" s="5">
        <f>IF(VALUE(LEFT(C23,FIND("个",C23)-1))=0,"通过","检出异常(符合预期)")</f>
        <v/>
      </c>
    </row>
    <row r="24" ht="30" customHeight="1">
      <c r="A24" s="4" t="inlineStr">
        <is>
          <t>无害化勾稽：无害化处理数=病死数</t>
        </is>
      </c>
      <c r="B24" s="5" t="inlineStr">
        <is>
          <t>12个月全部一致</t>
        </is>
      </c>
      <c r="C24" s="5">
        <f>COUNTIF('③演算-数据录入'!AM6:AM17,"不一致")&amp;"个不一致月"</f>
        <v/>
      </c>
      <c r="D24" s="5">
        <f>IF(VALUE(LEFT(C24,FIND("个",C24)-1))=0,"通过","检出异常(符合预期)")</f>
        <v/>
      </c>
    </row>
    <row r="25" ht="30" customHeight="1">
      <c r="A25" s="4" t="inlineStr">
        <is>
          <t>死亡率预警逻辑（预置8月异常，死亡率2.0%）</t>
        </is>
      </c>
      <c r="B25" s="5" t="inlineStr">
        <is>
          <t>检出1个超标月</t>
        </is>
      </c>
      <c r="C25" s="5">
        <f>COUNTIF('④演算-指标计算'!D6:D17,"&gt;0.015")&amp;"个超标月"</f>
        <v/>
      </c>
      <c r="D25" s="5">
        <f>IF(VALUE(LEFT(C25,FIND("个",C25)-1))=0,"通过","检出异常(符合预期)")</f>
        <v/>
      </c>
    </row>
    <row r="26" ht="30" customHeight="1">
      <c r="A26" s="4" t="inlineStr">
        <is>
          <t>抗体合格率预警逻辑（预置2月异常，合格率78%）</t>
        </is>
      </c>
      <c r="B26" s="5" t="inlineStr">
        <is>
          <t>检出1个不达标月</t>
        </is>
      </c>
      <c r="C26" s="5">
        <f>COUNTIF('④演算-指标计算'!K6:K17,"&lt;0.9")&amp;"个不达标月"</f>
        <v/>
      </c>
      <c r="D26" s="5">
        <f>IF(VALUE(LEFT(C26,FIND("个",C26)-1))=0,"通过","检出异常(符合预期)")</f>
        <v/>
      </c>
    </row>
    <row r="27" ht="30" customHeight="1">
      <c r="A27" s="4" t="inlineStr">
        <is>
          <t>核心指标年度阈值断言（PSY/MSY/成活率/料肉比等）</t>
        </is>
      </c>
      <c r="B27" s="5" t="inlineStr">
        <is>
          <t>全部达标或优秀</t>
        </is>
      </c>
      <c r="C27" s="5">
        <f>COUNTIF('④演算-指标计算'!H22:H39,"异常")&amp;"个异常项"</f>
        <v/>
      </c>
      <c r="D27" s="5">
        <f>IF(VALUE(LEFT(C27,FIND("个",C27)-1))=0,"通过","检出异常(符合预期)")</f>
        <v/>
      </c>
    </row>
    <row r="29" ht="26" customHeight="1">
      <c r="A29" s="2" t="inlineStr">
        <is>
          <t>五、总体结论：28项指标中25项（89%）可由现有73张档案表直接或经跨表加工支撑，验证了“畜牧+图情”指标体系的数据可行性；3项成本/收入类指标通过“改2个字段+加1张费用台账+建1套批次号规则”即可补齐。建议产品MVP即按上述5项改造标准档案模板，形成“档案填报→指标自动计算→阈值预警→看板展示”的闭环；⑤可视化数据准备已按看板要求整理为标准宽表，可直接用于图表生成。</t>
        </is>
      </c>
    </row>
    <row r="30" ht="26" customHeight="1"/>
    <row r="31" ht="26" customHeight="1"/>
  </sheetData>
  <mergeCells count="3">
    <mergeCell ref="A3:H3"/>
    <mergeCell ref="A29:H31"/>
    <mergeCell ref="A1:H1"/>
  </mergeCells>
  <conditionalFormatting sqref="D23:D27">
    <cfRule type="cellIs" priority="1" operator="equal" dxfId="2">
      <formula>"通过"</formula>
    </cfRule>
    <cfRule type="cellIs" priority="2" operator="equal" dxfId="5">
      <formula>"检出异常(符合预期)"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1" customWidth="1" min="4" max="4"/>
    <col width="10" customWidth="1" min="5" max="5"/>
    <col width="7" customWidth="1" min="6" max="6"/>
    <col width="7" customWidth="1" min="7" max="7"/>
    <col width="7" customWidth="1" min="8" max="8"/>
    <col width="9" customWidth="1" min="9" max="9"/>
    <col width="11" customWidth="1" min="10" max="10"/>
    <col width="7" customWidth="1" min="11" max="11"/>
    <col width="11" customWidth="1" min="12" max="12"/>
    <col width="8" customWidth="1" min="13" max="13"/>
    <col width="9" customWidth="1" min="14" max="14"/>
    <col width="8" customWidth="1" min="15" max="15"/>
    <col width="10" customWidth="1" min="16" max="16"/>
    <col width="11" customWidth="1" min="17" max="17"/>
    <col width="11" customWidth="1" min="18" max="18"/>
    <col width="9" customWidth="1" min="19" max="19"/>
    <col width="9" customWidth="1" min="20" max="20"/>
    <col width="9" customWidth="1" min="21" max="21"/>
    <col width="8" customWidth="1" min="22" max="22"/>
    <col width="9" customWidth="1" min="23" max="23"/>
    <col width="12" customWidth="1" min="24" max="24"/>
    <col width="8" customWidth="1" min="25" max="25"/>
    <col width="11" customWidth="1" min="26" max="26"/>
    <col width="9" customWidth="1" min="27" max="27"/>
    <col width="9" customWidth="1" min="28" max="28"/>
    <col width="10" customWidth="1" min="29" max="29"/>
    <col width="10" customWidth="1" min="30" max="30"/>
    <col width="10" customWidth="1" min="31" max="31"/>
    <col width="10" customWidth="1" min="32" max="32"/>
    <col width="13" customWidth="1" min="33" max="33"/>
    <col width="13" customWidth="1" min="34" max="34"/>
    <col width="16" customWidth="1" min="35" max="35"/>
    <col width="11" customWidth="1" min="36" max="36"/>
    <col width="11" customWidth="1" min="37" max="37"/>
    <col width="10" customWidth="1" min="38" max="38"/>
    <col width="10" customWidth="1" min="39" max="39"/>
  </cols>
  <sheetData>
    <row r="1">
      <c r="A1" s="16" t="inlineStr">
        <is>
          <t>③ 演算-数据录入区（模拟500头能繁母猪规模场 · 2026年1-12月 · 仅用于验证公式，非真实数据）</t>
        </is>
      </c>
    </row>
    <row r="2" ht="30" customHeight="1">
      <c r="A2" s="2" t="inlineStr">
        <is>
          <t>录入规则：白底列为手工录入（对应档案表原始记录）；蓝底列为公式自动计算。期初/期末存栏按01-07勾稽关系滚动；AL/AM列为档案数据质量校验。预置异常：8月死亡率（校验预警）、2月抗体合格率（校验预警），用于验证阈值判定有效性。</t>
        </is>
      </c>
    </row>
    <row r="3" ht="42" customHeight="1">
      <c r="A3" s="3" t="inlineStr">
        <is>
          <t>月份</t>
        </is>
      </c>
      <c r="B3" s="3" t="inlineStr">
        <is>
          <t>期初能繁母猪</t>
        </is>
      </c>
      <c r="C3" s="3" t="inlineStr">
        <is>
          <t>期末能繁母猪</t>
        </is>
      </c>
      <c r="D3" s="3" t="inlineStr">
        <is>
          <t>期初全群存栏</t>
        </is>
      </c>
      <c r="E3" s="3" t="inlineStr">
        <is>
          <t>出生(活仔)</t>
        </is>
      </c>
      <c r="F3" s="3" t="inlineStr">
        <is>
          <t>引进</t>
        </is>
      </c>
      <c r="G3" s="3" t="inlineStr">
        <is>
          <t>出栏</t>
        </is>
      </c>
      <c r="H3" s="3" t="inlineStr">
        <is>
          <t>死亡</t>
        </is>
      </c>
      <c r="I3" s="3" t="inlineStr">
        <is>
          <t>淘汰(全群)</t>
        </is>
      </c>
      <c r="J3" s="3" t="inlineStr">
        <is>
          <t>其中:淘汰母猪</t>
        </is>
      </c>
      <c r="K3" s="3" t="inlineStr">
        <is>
          <t>调出</t>
        </is>
      </c>
      <c r="L3" s="3" t="inlineStr">
        <is>
          <t>期末全群存栏</t>
        </is>
      </c>
      <c r="M3" s="3" t="inlineStr">
        <is>
          <t>配种数</t>
        </is>
      </c>
      <c r="N3" s="3" t="inlineStr">
        <is>
          <t>分娩窝数</t>
        </is>
      </c>
      <c r="O3" s="3" t="inlineStr">
        <is>
          <t>活仔数</t>
        </is>
      </c>
      <c r="P3" s="3" t="inlineStr">
        <is>
          <t>断奶仔猪数</t>
        </is>
      </c>
      <c r="Q3" s="3" t="inlineStr">
        <is>
          <t>耗料量(kg)</t>
        </is>
      </c>
      <c r="R3" s="3" t="inlineStr">
        <is>
          <t>总增重(kg)</t>
        </is>
      </c>
      <c r="S3" s="3" t="inlineStr">
        <is>
          <t>应免头次</t>
        </is>
      </c>
      <c r="T3" s="3" t="inlineStr">
        <is>
          <t>实免头次</t>
        </is>
      </c>
      <c r="U3" s="3" t="inlineStr">
        <is>
          <t>检测样本数</t>
        </is>
      </c>
      <c r="V3" s="3" t="inlineStr">
        <is>
          <t>合格数</t>
        </is>
      </c>
      <c r="W3" s="3" t="inlineStr">
        <is>
          <t>出栏批次</t>
        </is>
      </c>
      <c r="X3" s="3" t="inlineStr">
        <is>
          <t>休药期合规批次</t>
        </is>
      </c>
      <c r="Y3" s="3" t="inlineStr">
        <is>
          <t>病死数</t>
        </is>
      </c>
      <c r="Z3" s="3" t="inlineStr">
        <is>
          <t>无害化处理数</t>
        </is>
      </c>
      <c r="AA3" s="3" t="inlineStr">
        <is>
          <t>应佩标识数</t>
        </is>
      </c>
      <c r="AB3" s="3" t="inlineStr">
        <is>
          <t>实佩标识数</t>
        </is>
      </c>
      <c r="AC3" s="3" t="inlineStr">
        <is>
          <t>环境记录天数</t>
        </is>
      </c>
      <c r="AD3" s="3" t="inlineStr">
        <is>
          <t>温度达标天数</t>
        </is>
      </c>
      <c r="AE3" s="3" t="inlineStr">
        <is>
          <t>氨气抽检次数</t>
        </is>
      </c>
      <c r="AF3" s="3" t="inlineStr">
        <is>
          <t>氨气超标次数</t>
        </is>
      </c>
      <c r="AG3" s="3" t="inlineStr">
        <is>
          <t>饲料采购金额(元)</t>
        </is>
      </c>
      <c r="AH3" s="3" t="inlineStr">
        <is>
          <t>兽药采购金额(元)</t>
        </is>
      </c>
      <c r="AI3" s="3" t="inlineStr">
        <is>
          <t>其他成本-人工折旧能源(元)</t>
        </is>
      </c>
      <c r="AJ3" s="3" t="inlineStr">
        <is>
          <t>出栏总重(kg)</t>
        </is>
      </c>
      <c r="AK3" s="3" t="inlineStr">
        <is>
          <t>出栏单价(元/kg)</t>
        </is>
      </c>
      <c r="AL3" s="3" t="inlineStr">
        <is>
          <t>存栏平衡校验</t>
        </is>
      </c>
      <c r="AM3" s="3" t="inlineStr">
        <is>
          <t>无害化勾稽</t>
        </is>
      </c>
    </row>
    <row r="6">
      <c r="A6" s="4" t="inlineStr">
        <is>
          <t>1月</t>
        </is>
      </c>
      <c r="B6" s="17" t="n">
        <v>498</v>
      </c>
      <c r="C6" s="17" t="n">
        <v>500</v>
      </c>
      <c r="D6" s="17" t="n">
        <v>5800</v>
      </c>
      <c r="E6" s="5" t="n">
        <v>1056</v>
      </c>
      <c r="F6" s="5" t="n">
        <v>0</v>
      </c>
      <c r="G6" s="5" t="n">
        <v>900</v>
      </c>
      <c r="H6" s="5" t="n">
        <v>72</v>
      </c>
      <c r="I6" s="5" t="n">
        <v>60</v>
      </c>
      <c r="J6" s="5" t="n">
        <v>12</v>
      </c>
      <c r="K6" s="5" t="n">
        <v>0</v>
      </c>
      <c r="L6" s="17">
        <f>D6+E6+F6-G6-H6-I6-K6</f>
        <v/>
      </c>
      <c r="M6" s="5" t="n">
        <v>105</v>
      </c>
      <c r="N6" s="5" t="n">
        <v>96</v>
      </c>
      <c r="O6" s="5" t="n">
        <v>1056</v>
      </c>
      <c r="P6" s="5" t="n">
        <v>980</v>
      </c>
      <c r="Q6" s="18" t="n">
        <v>464000</v>
      </c>
      <c r="R6" s="18" t="n">
        <v>145000</v>
      </c>
      <c r="S6" s="5" t="n">
        <v>2000</v>
      </c>
      <c r="T6" s="5" t="n">
        <v>2000</v>
      </c>
      <c r="U6" s="5" t="n">
        <v>40</v>
      </c>
      <c r="V6" s="5" t="n">
        <v>37</v>
      </c>
      <c r="W6" s="5" t="n">
        <v>22</v>
      </c>
      <c r="X6" s="5" t="n">
        <v>22</v>
      </c>
      <c r="Y6" s="5" t="n">
        <v>72</v>
      </c>
      <c r="Z6" s="5" t="n">
        <v>72</v>
      </c>
      <c r="AA6" s="5" t="n">
        <v>1056</v>
      </c>
      <c r="AB6" s="5" t="n">
        <v>1056</v>
      </c>
      <c r="AC6" s="5" t="n">
        <v>31</v>
      </c>
      <c r="AD6" s="5" t="n">
        <v>26</v>
      </c>
      <c r="AE6" s="5" t="n">
        <v>10</v>
      </c>
      <c r="AF6" s="5" t="n">
        <v>1</v>
      </c>
      <c r="AG6" s="18" t="n">
        <v>1531200</v>
      </c>
      <c r="AH6" s="18" t="n">
        <v>90000</v>
      </c>
      <c r="AI6" s="18" t="n">
        <v>500000</v>
      </c>
      <c r="AJ6" s="18" t="n">
        <v>106200</v>
      </c>
      <c r="AK6" s="19" t="n">
        <v>19.5</v>
      </c>
      <c r="AL6" s="5">
        <f>IF(L6=D6+E6+F6-G6-H6-I6-K6,"平衡","不平衡")</f>
        <v/>
      </c>
      <c r="AM6" s="5">
        <f>IF(Z6=Y6,"一致","不一致")</f>
        <v/>
      </c>
    </row>
    <row r="7">
      <c r="A7" s="4" t="inlineStr">
        <is>
          <t>2月</t>
        </is>
      </c>
      <c r="B7" s="17">
        <f>C6</f>
        <v/>
      </c>
      <c r="C7" s="17" t="n">
        <v>502</v>
      </c>
      <c r="D7" s="17">
        <f>L6</f>
        <v/>
      </c>
      <c r="E7" s="5" t="n">
        <v>1012</v>
      </c>
      <c r="F7" s="5" t="n">
        <v>0</v>
      </c>
      <c r="G7" s="5" t="n">
        <v>950</v>
      </c>
      <c r="H7" s="5" t="n">
        <v>68</v>
      </c>
      <c r="I7" s="5" t="n">
        <v>55</v>
      </c>
      <c r="J7" s="5" t="n">
        <v>10</v>
      </c>
      <c r="K7" s="5" t="n">
        <v>0</v>
      </c>
      <c r="L7" s="17">
        <f>D7+E7+F7-G7-H7-I7-K7</f>
        <v/>
      </c>
      <c r="M7" s="5" t="n">
        <v>100</v>
      </c>
      <c r="N7" s="5" t="n">
        <v>92</v>
      </c>
      <c r="O7" s="5" t="n">
        <v>1012</v>
      </c>
      <c r="P7" s="5" t="n">
        <v>950</v>
      </c>
      <c r="Q7" s="18" t="n">
        <v>454400</v>
      </c>
      <c r="R7" s="18" t="n">
        <v>142000</v>
      </c>
      <c r="S7" s="5" t="n">
        <v>1900</v>
      </c>
      <c r="T7" s="5" t="n">
        <v>1900</v>
      </c>
      <c r="U7" s="5" t="n">
        <v>32</v>
      </c>
      <c r="V7" s="5" t="n">
        <v>25</v>
      </c>
      <c r="W7" s="5" t="n">
        <v>20</v>
      </c>
      <c r="X7" s="5" t="n">
        <v>20</v>
      </c>
      <c r="Y7" s="5" t="n">
        <v>68</v>
      </c>
      <c r="Z7" s="5" t="n">
        <v>68</v>
      </c>
      <c r="AA7" s="5" t="n">
        <v>1012</v>
      </c>
      <c r="AB7" s="5" t="n">
        <v>1012</v>
      </c>
      <c r="AC7" s="5" t="n">
        <v>28</v>
      </c>
      <c r="AD7" s="5" t="n">
        <v>25</v>
      </c>
      <c r="AE7" s="5" t="n">
        <v>8</v>
      </c>
      <c r="AF7" s="5" t="n">
        <v>0</v>
      </c>
      <c r="AG7" s="18" t="n">
        <v>1499520</v>
      </c>
      <c r="AH7" s="18" t="n">
        <v>85000</v>
      </c>
      <c r="AI7" s="18" t="n">
        <v>500000</v>
      </c>
      <c r="AJ7" s="18" t="n">
        <v>113050</v>
      </c>
      <c r="AK7" s="19" t="n">
        <v>19.8</v>
      </c>
      <c r="AL7" s="5">
        <f>IF(L7=D7+E7+F7-G7-H7-I7-K7,"平衡","不平衡")</f>
        <v/>
      </c>
      <c r="AM7" s="5">
        <f>IF(Z7=Y7,"一致","不一致")</f>
        <v/>
      </c>
    </row>
    <row r="8">
      <c r="A8" s="4" t="inlineStr">
        <is>
          <t>3月</t>
        </is>
      </c>
      <c r="B8" s="17">
        <f>C7</f>
        <v/>
      </c>
      <c r="C8" s="17" t="n">
        <v>505</v>
      </c>
      <c r="D8" s="17">
        <f>L7</f>
        <v/>
      </c>
      <c r="E8" s="5" t="n">
        <v>1089</v>
      </c>
      <c r="F8" s="5" t="n">
        <v>0</v>
      </c>
      <c r="G8" s="5" t="n">
        <v>920</v>
      </c>
      <c r="H8" s="5" t="n">
        <v>75</v>
      </c>
      <c r="I8" s="5" t="n">
        <v>58</v>
      </c>
      <c r="J8" s="5" t="n">
        <v>14</v>
      </c>
      <c r="K8" s="5" t="n">
        <v>0</v>
      </c>
      <c r="L8" s="17">
        <f>D8+E8+F8-G8-H8-I8-K8</f>
        <v/>
      </c>
      <c r="M8" s="5" t="n">
        <v>108</v>
      </c>
      <c r="N8" s="5" t="n">
        <v>99</v>
      </c>
      <c r="O8" s="5" t="n">
        <v>1089</v>
      </c>
      <c r="P8" s="5" t="n">
        <v>1020</v>
      </c>
      <c r="Q8" s="18" t="n">
        <v>480000</v>
      </c>
      <c r="R8" s="18" t="n">
        <v>150000</v>
      </c>
      <c r="S8" s="5" t="n">
        <v>2100</v>
      </c>
      <c r="T8" s="5" t="n">
        <v>2100</v>
      </c>
      <c r="U8" s="5" t="n">
        <v>45</v>
      </c>
      <c r="V8" s="5" t="n">
        <v>42</v>
      </c>
      <c r="W8" s="5" t="n">
        <v>23</v>
      </c>
      <c r="X8" s="5" t="n">
        <v>23</v>
      </c>
      <c r="Y8" s="5" t="n">
        <v>75</v>
      </c>
      <c r="Z8" s="5" t="n">
        <v>75</v>
      </c>
      <c r="AA8" s="5" t="n">
        <v>1089</v>
      </c>
      <c r="AB8" s="5" t="n">
        <v>1089</v>
      </c>
      <c r="AC8" s="5" t="n">
        <v>31</v>
      </c>
      <c r="AD8" s="5" t="n">
        <v>28</v>
      </c>
      <c r="AE8" s="5" t="n">
        <v>10</v>
      </c>
      <c r="AF8" s="5" t="n">
        <v>0</v>
      </c>
      <c r="AG8" s="18" t="n">
        <v>1584000</v>
      </c>
      <c r="AH8" s="18" t="n">
        <v>95000</v>
      </c>
      <c r="AI8" s="18" t="n">
        <v>500000</v>
      </c>
      <c r="AJ8" s="18" t="n">
        <v>110400</v>
      </c>
      <c r="AK8" s="19" t="n">
        <v>20.2</v>
      </c>
      <c r="AL8" s="5">
        <f>IF(L8=D8+E8+F8-G8-H8-I8-K8,"平衡","不平衡")</f>
        <v/>
      </c>
      <c r="AM8" s="5">
        <f>IF(Z8=Y8,"一致","不一致")</f>
        <v/>
      </c>
    </row>
    <row r="9">
      <c r="A9" s="4" t="inlineStr">
        <is>
          <t>4月</t>
        </is>
      </c>
      <c r="B9" s="17">
        <f>C8</f>
        <v/>
      </c>
      <c r="C9" s="17" t="n">
        <v>508</v>
      </c>
      <c r="D9" s="17">
        <f>L8</f>
        <v/>
      </c>
      <c r="E9" s="5" t="n">
        <v>1045</v>
      </c>
      <c r="F9" s="5" t="n">
        <v>0</v>
      </c>
      <c r="G9" s="5" t="n">
        <v>960</v>
      </c>
      <c r="H9" s="5" t="n">
        <v>80</v>
      </c>
      <c r="I9" s="5" t="n">
        <v>62</v>
      </c>
      <c r="J9" s="5" t="n">
        <v>12</v>
      </c>
      <c r="K9" s="5" t="n">
        <v>0</v>
      </c>
      <c r="L9" s="17">
        <f>D9+E9+F9-G9-H9-I9-K9</f>
        <v/>
      </c>
      <c r="M9" s="5" t="n">
        <v>104</v>
      </c>
      <c r="N9" s="5" t="n">
        <v>95</v>
      </c>
      <c r="O9" s="5" t="n">
        <v>1045</v>
      </c>
      <c r="P9" s="5" t="n">
        <v>980</v>
      </c>
      <c r="Q9" s="18" t="n">
        <v>473600</v>
      </c>
      <c r="R9" s="18" t="n">
        <v>148000</v>
      </c>
      <c r="S9" s="5" t="n">
        <v>2000</v>
      </c>
      <c r="T9" s="5" t="n">
        <v>2000</v>
      </c>
      <c r="U9" s="5" t="n">
        <v>40</v>
      </c>
      <c r="V9" s="5" t="n">
        <v>37</v>
      </c>
      <c r="W9" s="5" t="n">
        <v>22</v>
      </c>
      <c r="X9" s="5" t="n">
        <v>22</v>
      </c>
      <c r="Y9" s="5" t="n">
        <v>80</v>
      </c>
      <c r="Z9" s="5" t="n">
        <v>80</v>
      </c>
      <c r="AA9" s="5" t="n">
        <v>1045</v>
      </c>
      <c r="AB9" s="5" t="n">
        <v>1045</v>
      </c>
      <c r="AC9" s="5" t="n">
        <v>30</v>
      </c>
      <c r="AD9" s="5" t="n">
        <v>29</v>
      </c>
      <c r="AE9" s="5" t="n">
        <v>9</v>
      </c>
      <c r="AF9" s="5" t="n">
        <v>0</v>
      </c>
      <c r="AG9" s="18" t="n">
        <v>1562880</v>
      </c>
      <c r="AH9" s="18" t="n">
        <v>92000</v>
      </c>
      <c r="AI9" s="18" t="n">
        <v>500000</v>
      </c>
      <c r="AJ9" s="18" t="n">
        <v>116160</v>
      </c>
      <c r="AK9" s="19" t="n">
        <v>20.5</v>
      </c>
      <c r="AL9" s="5">
        <f>IF(L9=D9+E9+F9-G9-H9-I9-K9,"平衡","不平衡")</f>
        <v/>
      </c>
      <c r="AM9" s="5">
        <f>IF(Z9=Y9,"一致","不一致")</f>
        <v/>
      </c>
    </row>
    <row r="10">
      <c r="A10" s="4" t="inlineStr">
        <is>
          <t>5月</t>
        </is>
      </c>
      <c r="B10" s="17">
        <f>C9</f>
        <v/>
      </c>
      <c r="C10" s="17" t="n">
        <v>510</v>
      </c>
      <c r="D10" s="17">
        <f>L9</f>
        <v/>
      </c>
      <c r="E10" s="5" t="n">
        <v>1023</v>
      </c>
      <c r="F10" s="5" t="n">
        <v>0</v>
      </c>
      <c r="G10" s="5" t="n">
        <v>940</v>
      </c>
      <c r="H10" s="5" t="n">
        <v>78</v>
      </c>
      <c r="I10" s="5" t="n">
        <v>60</v>
      </c>
      <c r="J10" s="5" t="n">
        <v>13</v>
      </c>
      <c r="K10" s="5" t="n">
        <v>0</v>
      </c>
      <c r="L10" s="17">
        <f>D10+E10+F10-G10-H10-I10-K10</f>
        <v/>
      </c>
      <c r="M10" s="5" t="n">
        <v>102</v>
      </c>
      <c r="N10" s="5" t="n">
        <v>93</v>
      </c>
      <c r="O10" s="5" t="n">
        <v>1023</v>
      </c>
      <c r="P10" s="5" t="n">
        <v>960</v>
      </c>
      <c r="Q10" s="18" t="n">
        <v>467200</v>
      </c>
      <c r="R10" s="18" t="n">
        <v>146000</v>
      </c>
      <c r="S10" s="5" t="n">
        <v>1950</v>
      </c>
      <c r="T10" s="5" t="n">
        <v>1950</v>
      </c>
      <c r="U10" s="5" t="n">
        <v>38</v>
      </c>
      <c r="V10" s="5" t="n">
        <v>36</v>
      </c>
      <c r="W10" s="5" t="n">
        <v>21</v>
      </c>
      <c r="X10" s="5" t="n">
        <v>21</v>
      </c>
      <c r="Y10" s="5" t="n">
        <v>78</v>
      </c>
      <c r="Z10" s="5" t="n">
        <v>78</v>
      </c>
      <c r="AA10" s="5" t="n">
        <v>1023</v>
      </c>
      <c r="AB10" s="5" t="n">
        <v>1023</v>
      </c>
      <c r="AC10" s="5" t="n">
        <v>31</v>
      </c>
      <c r="AD10" s="5" t="n">
        <v>30</v>
      </c>
      <c r="AE10" s="5" t="n">
        <v>10</v>
      </c>
      <c r="AF10" s="5" t="n">
        <v>0</v>
      </c>
      <c r="AG10" s="18" t="n">
        <v>1541760</v>
      </c>
      <c r="AH10" s="18" t="n">
        <v>88000</v>
      </c>
      <c r="AI10" s="18" t="n">
        <v>500000</v>
      </c>
      <c r="AJ10" s="18" t="n">
        <v>112800</v>
      </c>
      <c r="AK10" s="19" t="n">
        <v>20.3</v>
      </c>
      <c r="AL10" s="5">
        <f>IF(L10=D10+E10+F10-G10-H10-I10-K10,"平衡","不平衡")</f>
        <v/>
      </c>
      <c r="AM10" s="5">
        <f>IF(Z10=Y10,"一致","不一致")</f>
        <v/>
      </c>
    </row>
    <row r="11">
      <c r="A11" s="4" t="inlineStr">
        <is>
          <t>6月</t>
        </is>
      </c>
      <c r="B11" s="17">
        <f>C10</f>
        <v/>
      </c>
      <c r="C11" s="17" t="n">
        <v>512</v>
      </c>
      <c r="D11" s="17">
        <f>L10</f>
        <v/>
      </c>
      <c r="E11" s="5" t="n">
        <v>1067</v>
      </c>
      <c r="F11" s="5" t="n">
        <v>0</v>
      </c>
      <c r="G11" s="5" t="n">
        <v>980</v>
      </c>
      <c r="H11" s="5" t="n">
        <v>82</v>
      </c>
      <c r="I11" s="5" t="n">
        <v>58</v>
      </c>
      <c r="J11" s="5" t="n">
        <v>11</v>
      </c>
      <c r="K11" s="5" t="n">
        <v>0</v>
      </c>
      <c r="L11" s="17">
        <f>D11+E11+F11-G11-H11-I11-K11</f>
        <v/>
      </c>
      <c r="M11" s="5" t="n">
        <v>106</v>
      </c>
      <c r="N11" s="5" t="n">
        <v>97</v>
      </c>
      <c r="O11" s="5" t="n">
        <v>1067</v>
      </c>
      <c r="P11" s="5" t="n">
        <v>1000</v>
      </c>
      <c r="Q11" s="18" t="n">
        <v>486400</v>
      </c>
      <c r="R11" s="18" t="n">
        <v>152000</v>
      </c>
      <c r="S11" s="5" t="n">
        <v>2050</v>
      </c>
      <c r="T11" s="5" t="n">
        <v>2050</v>
      </c>
      <c r="U11" s="5" t="n">
        <v>42</v>
      </c>
      <c r="V11" s="5" t="n">
        <v>39</v>
      </c>
      <c r="W11" s="5" t="n">
        <v>24</v>
      </c>
      <c r="X11" s="5" t="n">
        <v>24</v>
      </c>
      <c r="Y11" s="5" t="n">
        <v>82</v>
      </c>
      <c r="Z11" s="5" t="n">
        <v>82</v>
      </c>
      <c r="AA11" s="5" t="n">
        <v>1067</v>
      </c>
      <c r="AB11" s="5" t="n">
        <v>1067</v>
      </c>
      <c r="AC11" s="5" t="n">
        <v>30</v>
      </c>
      <c r="AD11" s="5" t="n">
        <v>29</v>
      </c>
      <c r="AE11" s="5" t="n">
        <v>9</v>
      </c>
      <c r="AF11" s="5" t="n">
        <v>0</v>
      </c>
      <c r="AG11" s="18" t="n">
        <v>1605120</v>
      </c>
      <c r="AH11" s="18" t="n">
        <v>96000</v>
      </c>
      <c r="AI11" s="18" t="n">
        <v>500000</v>
      </c>
      <c r="AJ11" s="18" t="n">
        <v>119560</v>
      </c>
      <c r="AK11" s="19" t="n">
        <v>19.9</v>
      </c>
      <c r="AL11" s="5">
        <f>IF(L11=D11+E11+F11-G11-H11-I11-K11,"平衡","不平衡")</f>
        <v/>
      </c>
      <c r="AM11" s="5">
        <f>IF(Z11=Y11,"一致","不一致")</f>
        <v/>
      </c>
    </row>
    <row r="12">
      <c r="A12" s="4" t="inlineStr">
        <is>
          <t>7月</t>
        </is>
      </c>
      <c r="B12" s="17">
        <f>C11</f>
        <v/>
      </c>
      <c r="C12" s="17" t="n">
        <v>510</v>
      </c>
      <c r="D12" s="17">
        <f>L11</f>
        <v/>
      </c>
      <c r="E12" s="5" t="n">
        <v>1034</v>
      </c>
      <c r="F12" s="5" t="n">
        <v>0</v>
      </c>
      <c r="G12" s="5" t="n">
        <v>950</v>
      </c>
      <c r="H12" s="5" t="n">
        <v>78</v>
      </c>
      <c r="I12" s="5" t="n">
        <v>65</v>
      </c>
      <c r="J12" s="5" t="n">
        <v>15</v>
      </c>
      <c r="K12" s="5" t="n">
        <v>0</v>
      </c>
      <c r="L12" s="17">
        <f>D12+E12+F12-G12-H12-I12-K12</f>
        <v/>
      </c>
      <c r="M12" s="5" t="n">
        <v>103</v>
      </c>
      <c r="N12" s="5" t="n">
        <v>94</v>
      </c>
      <c r="O12" s="5" t="n">
        <v>1034</v>
      </c>
      <c r="P12" s="5" t="n">
        <v>970</v>
      </c>
      <c r="Q12" s="18" t="n">
        <v>476800</v>
      </c>
      <c r="R12" s="18" t="n">
        <v>149000</v>
      </c>
      <c r="S12" s="5" t="n">
        <v>2000</v>
      </c>
      <c r="T12" s="5" t="n">
        <v>2000</v>
      </c>
      <c r="U12" s="5" t="n">
        <v>40</v>
      </c>
      <c r="V12" s="5" t="n">
        <v>37</v>
      </c>
      <c r="W12" s="5" t="n">
        <v>23</v>
      </c>
      <c r="X12" s="5" t="n">
        <v>23</v>
      </c>
      <c r="Y12" s="5" t="n">
        <v>78</v>
      </c>
      <c r="Z12" s="5" t="n">
        <v>78</v>
      </c>
      <c r="AA12" s="5" t="n">
        <v>1034</v>
      </c>
      <c r="AB12" s="5" t="n">
        <v>1034</v>
      </c>
      <c r="AC12" s="5" t="n">
        <v>31</v>
      </c>
      <c r="AD12" s="5" t="n">
        <v>30</v>
      </c>
      <c r="AE12" s="5" t="n">
        <v>10</v>
      </c>
      <c r="AF12" s="5" t="n">
        <v>0</v>
      </c>
      <c r="AG12" s="18" t="n">
        <v>1573440</v>
      </c>
      <c r="AH12" s="18" t="n">
        <v>93000</v>
      </c>
      <c r="AI12" s="18" t="n">
        <v>500000</v>
      </c>
      <c r="AJ12" s="18" t="n">
        <v>114950</v>
      </c>
      <c r="AK12" s="19" t="n">
        <v>19.6</v>
      </c>
      <c r="AL12" s="5">
        <f>IF(L12=D12+E12+F12-G12-H12-I12-K12,"平衡","不平衡")</f>
        <v/>
      </c>
      <c r="AM12" s="5">
        <f>IF(Z12=Y12,"一致","不一致")</f>
        <v/>
      </c>
    </row>
    <row r="13">
      <c r="A13" s="4" t="inlineStr">
        <is>
          <t>8月</t>
        </is>
      </c>
      <c r="B13" s="17">
        <f>C12</f>
        <v/>
      </c>
      <c r="C13" s="17" t="n">
        <v>508</v>
      </c>
      <c r="D13" s="17">
        <f>L12</f>
        <v/>
      </c>
      <c r="E13" s="5" t="n">
        <v>1012</v>
      </c>
      <c r="F13" s="5" t="n">
        <v>0</v>
      </c>
      <c r="G13" s="5" t="n">
        <v>930</v>
      </c>
      <c r="H13" s="5" t="n">
        <v>120</v>
      </c>
      <c r="I13" s="5" t="n">
        <v>60</v>
      </c>
      <c r="J13" s="5" t="n">
        <v>12</v>
      </c>
      <c r="K13" s="5" t="n">
        <v>0</v>
      </c>
      <c r="L13" s="17">
        <f>D13+E13+F13-G13-H13-I13-K13</f>
        <v/>
      </c>
      <c r="M13" s="5" t="n">
        <v>101</v>
      </c>
      <c r="N13" s="5" t="n">
        <v>92</v>
      </c>
      <c r="O13" s="5" t="n">
        <v>1012</v>
      </c>
      <c r="P13" s="5" t="n">
        <v>950</v>
      </c>
      <c r="Q13" s="18" t="n">
        <v>470400</v>
      </c>
      <c r="R13" s="18" t="n">
        <v>147000</v>
      </c>
      <c r="S13" s="5" t="n">
        <v>1950</v>
      </c>
      <c r="T13" s="5" t="n">
        <v>1950</v>
      </c>
      <c r="U13" s="5" t="n">
        <v>36</v>
      </c>
      <c r="V13" s="5" t="n">
        <v>34</v>
      </c>
      <c r="W13" s="5" t="n">
        <v>22</v>
      </c>
      <c r="X13" s="5" t="n">
        <v>22</v>
      </c>
      <c r="Y13" s="5" t="n">
        <v>120</v>
      </c>
      <c r="Z13" s="5" t="n">
        <v>120</v>
      </c>
      <c r="AA13" s="5" t="n">
        <v>1012</v>
      </c>
      <c r="AB13" s="5" t="n">
        <v>1012</v>
      </c>
      <c r="AC13" s="5" t="n">
        <v>31</v>
      </c>
      <c r="AD13" s="5" t="n">
        <v>30</v>
      </c>
      <c r="AE13" s="5" t="n">
        <v>10</v>
      </c>
      <c r="AF13" s="5" t="n">
        <v>0</v>
      </c>
      <c r="AG13" s="18" t="n">
        <v>1552320</v>
      </c>
      <c r="AH13" s="18" t="n">
        <v>100000</v>
      </c>
      <c r="AI13" s="18" t="n">
        <v>500000</v>
      </c>
      <c r="AJ13" s="18" t="n">
        <v>111600</v>
      </c>
      <c r="AK13" s="19" t="n">
        <v>19.4</v>
      </c>
      <c r="AL13" s="5">
        <f>IF(L13=D13+E13+F13-G13-H13-I13-K13,"平衡","不平衡")</f>
        <v/>
      </c>
      <c r="AM13" s="5">
        <f>IF(Z13=Y13,"一致","不一致")</f>
        <v/>
      </c>
    </row>
    <row r="14">
      <c r="A14" s="4" t="inlineStr">
        <is>
          <t>9月</t>
        </is>
      </c>
      <c r="B14" s="17">
        <f>C13</f>
        <v/>
      </c>
      <c r="C14" s="17" t="n">
        <v>506</v>
      </c>
      <c r="D14" s="17">
        <f>L13</f>
        <v/>
      </c>
      <c r="E14" s="5" t="n">
        <v>1078</v>
      </c>
      <c r="F14" s="5" t="n">
        <v>0</v>
      </c>
      <c r="G14" s="5" t="n">
        <v>970</v>
      </c>
      <c r="H14" s="5" t="n">
        <v>78</v>
      </c>
      <c r="I14" s="5" t="n">
        <v>55</v>
      </c>
      <c r="J14" s="5" t="n">
        <v>10</v>
      </c>
      <c r="K14" s="5" t="n">
        <v>0</v>
      </c>
      <c r="L14" s="17">
        <f>D14+E14+F14-G14-H14-I14-K14</f>
        <v/>
      </c>
      <c r="M14" s="5" t="n">
        <v>107</v>
      </c>
      <c r="N14" s="5" t="n">
        <v>98</v>
      </c>
      <c r="O14" s="5" t="n">
        <v>1078</v>
      </c>
      <c r="P14" s="5" t="n">
        <v>1010</v>
      </c>
      <c r="Q14" s="18" t="n">
        <v>489600</v>
      </c>
      <c r="R14" s="18" t="n">
        <v>153000</v>
      </c>
      <c r="S14" s="5" t="n">
        <v>2100</v>
      </c>
      <c r="T14" s="5" t="n">
        <v>2100</v>
      </c>
      <c r="U14" s="5" t="n">
        <v>44</v>
      </c>
      <c r="V14" s="5" t="n">
        <v>41</v>
      </c>
      <c r="W14" s="5" t="n">
        <v>23</v>
      </c>
      <c r="X14" s="5" t="n">
        <v>23</v>
      </c>
      <c r="Y14" s="5" t="n">
        <v>78</v>
      </c>
      <c r="Z14" s="5" t="n">
        <v>78</v>
      </c>
      <c r="AA14" s="5" t="n">
        <v>1078</v>
      </c>
      <c r="AB14" s="5" t="n">
        <v>1078</v>
      </c>
      <c r="AC14" s="5" t="n">
        <v>30</v>
      </c>
      <c r="AD14" s="5" t="n">
        <v>29</v>
      </c>
      <c r="AE14" s="5" t="n">
        <v>9</v>
      </c>
      <c r="AF14" s="5" t="n">
        <v>0</v>
      </c>
      <c r="AG14" s="18" t="n">
        <v>1615680</v>
      </c>
      <c r="AH14" s="18" t="n">
        <v>91000</v>
      </c>
      <c r="AI14" s="18" t="n">
        <v>500000</v>
      </c>
      <c r="AJ14" s="18" t="n">
        <v>115430</v>
      </c>
      <c r="AK14" s="19" t="n">
        <v>19.7</v>
      </c>
      <c r="AL14" s="5">
        <f>IF(L14=D14+E14+F14-G14-H14-I14-K14,"平衡","不平衡")</f>
        <v/>
      </c>
      <c r="AM14" s="5">
        <f>IF(Z14=Y14,"一致","不一致")</f>
        <v/>
      </c>
    </row>
    <row r="15">
      <c r="A15" s="4" t="inlineStr">
        <is>
          <t>10月</t>
        </is>
      </c>
      <c r="B15" s="17">
        <f>C14</f>
        <v/>
      </c>
      <c r="C15" s="17" t="n">
        <v>508</v>
      </c>
      <c r="D15" s="17">
        <f>L14</f>
        <v/>
      </c>
      <c r="E15" s="5" t="n">
        <v>1056</v>
      </c>
      <c r="F15" s="5" t="n">
        <v>0</v>
      </c>
      <c r="G15" s="5" t="n">
        <v>960</v>
      </c>
      <c r="H15" s="5" t="n">
        <v>72</v>
      </c>
      <c r="I15" s="5" t="n">
        <v>58</v>
      </c>
      <c r="J15" s="5" t="n">
        <v>13</v>
      </c>
      <c r="K15" s="5" t="n">
        <v>0</v>
      </c>
      <c r="L15" s="17">
        <f>D15+E15+F15-G15-H15-I15-K15</f>
        <v/>
      </c>
      <c r="M15" s="5" t="n">
        <v>105</v>
      </c>
      <c r="N15" s="5" t="n">
        <v>96</v>
      </c>
      <c r="O15" s="5" t="n">
        <v>1056</v>
      </c>
      <c r="P15" s="5" t="n">
        <v>990</v>
      </c>
      <c r="Q15" s="18" t="n">
        <v>483200</v>
      </c>
      <c r="R15" s="18" t="n">
        <v>151000</v>
      </c>
      <c r="S15" s="5" t="n">
        <v>2050</v>
      </c>
      <c r="T15" s="5" t="n">
        <v>2050</v>
      </c>
      <c r="U15" s="5" t="n">
        <v>40</v>
      </c>
      <c r="V15" s="5" t="n">
        <v>37</v>
      </c>
      <c r="W15" s="5" t="n">
        <v>24</v>
      </c>
      <c r="X15" s="5" t="n">
        <v>24</v>
      </c>
      <c r="Y15" s="5" t="n">
        <v>72</v>
      </c>
      <c r="Z15" s="5" t="n">
        <v>72</v>
      </c>
      <c r="AA15" s="5" t="n">
        <v>1056</v>
      </c>
      <c r="AB15" s="5" t="n">
        <v>1056</v>
      </c>
      <c r="AC15" s="5" t="n">
        <v>31</v>
      </c>
      <c r="AD15" s="5" t="n">
        <v>29</v>
      </c>
      <c r="AE15" s="5" t="n">
        <v>10</v>
      </c>
      <c r="AF15" s="5" t="n">
        <v>0</v>
      </c>
      <c r="AG15" s="18" t="n">
        <v>1594560</v>
      </c>
      <c r="AH15" s="18" t="n">
        <v>94000</v>
      </c>
      <c r="AI15" s="18" t="n">
        <v>500000</v>
      </c>
      <c r="AJ15" s="18" t="n">
        <v>115200</v>
      </c>
      <c r="AK15" s="19" t="n">
        <v>20.1</v>
      </c>
      <c r="AL15" s="5">
        <f>IF(L15=D15+E15+F15-G15-H15-I15-K15,"平衡","不平衡")</f>
        <v/>
      </c>
      <c r="AM15" s="5">
        <f>IF(Z15=Y15,"一致","不一致")</f>
        <v/>
      </c>
    </row>
    <row r="16">
      <c r="A16" s="4" t="inlineStr">
        <is>
          <t>11月</t>
        </is>
      </c>
      <c r="B16" s="17">
        <f>C15</f>
        <v/>
      </c>
      <c r="C16" s="17" t="n">
        <v>510</v>
      </c>
      <c r="D16" s="17">
        <f>L15</f>
        <v/>
      </c>
      <c r="E16" s="5" t="n">
        <v>1034</v>
      </c>
      <c r="F16" s="5" t="n">
        <v>0</v>
      </c>
      <c r="G16" s="5" t="n">
        <v>940</v>
      </c>
      <c r="H16" s="5" t="n">
        <v>70</v>
      </c>
      <c r="I16" s="5" t="n">
        <v>62</v>
      </c>
      <c r="J16" s="5" t="n">
        <v>12</v>
      </c>
      <c r="K16" s="5" t="n">
        <v>0</v>
      </c>
      <c r="L16" s="17">
        <f>D16+E16+F16-G16-H16-I16-K16</f>
        <v/>
      </c>
      <c r="M16" s="5" t="n">
        <v>103</v>
      </c>
      <c r="N16" s="5" t="n">
        <v>94</v>
      </c>
      <c r="O16" s="5" t="n">
        <v>1034</v>
      </c>
      <c r="P16" s="5" t="n">
        <v>970</v>
      </c>
      <c r="Q16" s="18" t="n">
        <v>473600</v>
      </c>
      <c r="R16" s="18" t="n">
        <v>148000</v>
      </c>
      <c r="S16" s="5" t="n">
        <v>2000</v>
      </c>
      <c r="T16" s="5" t="n">
        <v>2000</v>
      </c>
      <c r="U16" s="5" t="n">
        <v>38</v>
      </c>
      <c r="V16" s="5" t="n">
        <v>36</v>
      </c>
      <c r="W16" s="5" t="n">
        <v>22</v>
      </c>
      <c r="X16" s="5" t="n">
        <v>22</v>
      </c>
      <c r="Y16" s="5" t="n">
        <v>70</v>
      </c>
      <c r="Z16" s="5" t="n">
        <v>70</v>
      </c>
      <c r="AA16" s="5" t="n">
        <v>1034</v>
      </c>
      <c r="AB16" s="5" t="n">
        <v>1034</v>
      </c>
      <c r="AC16" s="5" t="n">
        <v>30</v>
      </c>
      <c r="AD16" s="5" t="n">
        <v>28</v>
      </c>
      <c r="AE16" s="5" t="n">
        <v>9</v>
      </c>
      <c r="AF16" s="5" t="n">
        <v>0</v>
      </c>
      <c r="AG16" s="18" t="n">
        <v>1562880</v>
      </c>
      <c r="AH16" s="18" t="n">
        <v>92000</v>
      </c>
      <c r="AI16" s="18" t="n">
        <v>500000</v>
      </c>
      <c r="AJ16" s="18" t="n">
        <v>113740</v>
      </c>
      <c r="AK16" s="19" t="n">
        <v>20.4</v>
      </c>
      <c r="AL16" s="5">
        <f>IF(L16=D16+E16+F16-G16-H16-I16-K16,"平衡","不平衡")</f>
        <v/>
      </c>
      <c r="AM16" s="5">
        <f>IF(Z16=Y16,"一致","不一致")</f>
        <v/>
      </c>
    </row>
    <row r="17">
      <c r="A17" s="4" t="inlineStr">
        <is>
          <t>12月</t>
        </is>
      </c>
      <c r="B17" s="17">
        <f>C16</f>
        <v/>
      </c>
      <c r="C17" s="17" t="n">
        <v>512</v>
      </c>
      <c r="D17" s="17">
        <f>L16</f>
        <v/>
      </c>
      <c r="E17" s="5" t="n">
        <v>1089</v>
      </c>
      <c r="F17" s="5" t="n">
        <v>0</v>
      </c>
      <c r="G17" s="5" t="n">
        <v>1000</v>
      </c>
      <c r="H17" s="5" t="n">
        <v>76</v>
      </c>
      <c r="I17" s="5" t="n">
        <v>60</v>
      </c>
      <c r="J17" s="5" t="n">
        <v>14</v>
      </c>
      <c r="K17" s="5" t="n">
        <v>0</v>
      </c>
      <c r="L17" s="17">
        <f>D17+E17+F17-G17-H17-I17-K17</f>
        <v/>
      </c>
      <c r="M17" s="5" t="n">
        <v>108</v>
      </c>
      <c r="N17" s="5" t="n">
        <v>99</v>
      </c>
      <c r="O17" s="5" t="n">
        <v>1089</v>
      </c>
      <c r="P17" s="5" t="n">
        <v>1020</v>
      </c>
      <c r="Q17" s="18" t="n">
        <v>492800</v>
      </c>
      <c r="R17" s="18" t="n">
        <v>154000</v>
      </c>
      <c r="S17" s="5" t="n">
        <v>2100</v>
      </c>
      <c r="T17" s="5" t="n">
        <v>2100</v>
      </c>
      <c r="U17" s="5" t="n">
        <v>45</v>
      </c>
      <c r="V17" s="5" t="n">
        <v>42</v>
      </c>
      <c r="W17" s="5" t="n">
        <v>25</v>
      </c>
      <c r="X17" s="5" t="n">
        <v>25</v>
      </c>
      <c r="Y17" s="5" t="n">
        <v>76</v>
      </c>
      <c r="Z17" s="5" t="n">
        <v>76</v>
      </c>
      <c r="AA17" s="5" t="n">
        <v>1089</v>
      </c>
      <c r="AB17" s="5" t="n">
        <v>1089</v>
      </c>
      <c r="AC17" s="5" t="n">
        <v>31</v>
      </c>
      <c r="AD17" s="5" t="n">
        <v>27</v>
      </c>
      <c r="AE17" s="5" t="n">
        <v>10</v>
      </c>
      <c r="AF17" s="5" t="n">
        <v>1</v>
      </c>
      <c r="AG17" s="18" t="n">
        <v>1626240</v>
      </c>
      <c r="AH17" s="18" t="n">
        <v>97000</v>
      </c>
      <c r="AI17" s="18" t="n">
        <v>500000</v>
      </c>
      <c r="AJ17" s="18" t="n">
        <v>122000</v>
      </c>
      <c r="AK17" s="19" t="n">
        <v>20.8</v>
      </c>
      <c r="AL17" s="5">
        <f>IF(L17=D17+E17+F17-G17-H17-I17-K17,"平衡","不平衡")</f>
        <v/>
      </c>
      <c r="AM17" s="5">
        <f>IF(Z17=Y17,"一致","不一致")</f>
        <v/>
      </c>
    </row>
  </sheetData>
  <mergeCells count="2">
    <mergeCell ref="A2:AM2"/>
    <mergeCell ref="A1:AM1"/>
  </mergeCells>
  <conditionalFormatting sqref="AL6:AL17">
    <cfRule type="cellIs" priority="1" operator="equal" dxfId="0">
      <formula>"不平衡"</formula>
    </cfRule>
    <cfRule type="cellIs" priority="2" operator="equal" dxfId="1">
      <formula>"平衡"</formula>
    </cfRule>
  </conditionalFormatting>
  <conditionalFormatting sqref="AM6:AM17">
    <cfRule type="cellIs" priority="3" operator="equal" dxfId="0">
      <formula>"不一致"</formula>
    </cfRule>
    <cfRule type="cellIs" priority="4" operator="equal" dxfId="1">
      <formula>"一致"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10" customWidth="1" min="4" max="4"/>
    <col width="10" customWidth="1" min="5" max="5"/>
    <col width="11" customWidth="1" min="6" max="6"/>
    <col width="30" customWidth="1" min="7" max="7"/>
    <col width="12" customWidth="1" min="8" max="8"/>
    <col width="12" customWidth="1" min="9" max="9"/>
    <col width="10" customWidth="1" min="10" max="10"/>
    <col width="11" customWidth="1" min="11" max="11"/>
    <col width="13" customWidth="1" min="12" max="12"/>
    <col width="12" customWidth="1" min="13" max="13"/>
    <col width="11" customWidth="1" min="14" max="14"/>
    <col width="10" customWidth="1" min="15" max="15"/>
    <col width="11" customWidth="1" min="16" max="16"/>
    <col width="12" customWidth="1" min="17" max="17"/>
    <col width="12" customWidth="1" min="18" max="18"/>
    <col width="12" customWidth="1" min="19" max="19"/>
  </cols>
  <sheetData>
    <row r="1">
      <c r="A1" s="16" t="inlineStr">
        <is>
          <t>④ 月度指标计算（公式引用③录入区，随档案数据自动刷新）</t>
        </is>
      </c>
    </row>
    <row r="2" ht="28" customHeight="1">
      <c r="A2" s="2" t="inlineStr">
        <is>
          <t>全部指标由公式实时计算；红底为触发行业阈值的预警（死亡率&gt;1.5%、抗体合格率&lt;90%等），即看板的自动预警规则。配种分娩率按同月口径演示，生产中应按批次匹配。</t>
        </is>
      </c>
    </row>
    <row r="3" ht="40" customHeight="1">
      <c r="A3" s="3" t="inlineStr">
        <is>
          <t>月份</t>
        </is>
      </c>
      <c r="B3" s="3" t="inlineStr">
        <is>
          <t>月均能繁母猪</t>
        </is>
      </c>
      <c r="C3" s="3" t="inlineStr">
        <is>
          <t>月均全群存栏</t>
        </is>
      </c>
      <c r="D3" s="3" t="inlineStr">
        <is>
          <t>月死亡率</t>
        </is>
      </c>
      <c r="E3" s="3" t="inlineStr">
        <is>
          <t>配种分娩率</t>
        </is>
      </c>
      <c r="F3" s="3" t="inlineStr">
        <is>
          <t>胎均活仔</t>
        </is>
      </c>
      <c r="G3" s="3" t="inlineStr">
        <is>
          <t>断奶成活率</t>
        </is>
      </c>
      <c r="H3" s="3" t="inlineStr">
        <is>
          <t>料肉比</t>
        </is>
      </c>
      <c r="I3" s="3" t="inlineStr">
        <is>
          <t>出栏均重(kg)</t>
        </is>
      </c>
      <c r="J3" s="3" t="inlineStr">
        <is>
          <t>免疫密度</t>
        </is>
      </c>
      <c r="K3" s="3" t="inlineStr">
        <is>
          <t>抗体合格率</t>
        </is>
      </c>
      <c r="L3" s="3" t="inlineStr">
        <is>
          <t>休药期合规率</t>
        </is>
      </c>
      <c r="M3" s="3" t="inlineStr">
        <is>
          <t>无害化处理率</t>
        </is>
      </c>
      <c r="N3" s="3" t="inlineStr">
        <is>
          <t>标识佩戴率</t>
        </is>
      </c>
      <c r="O3" s="3" t="inlineStr">
        <is>
          <t>温度达标率</t>
        </is>
      </c>
      <c r="P3" s="3" t="inlineStr">
        <is>
          <t>氨气达标率</t>
        </is>
      </c>
      <c r="Q3" s="3" t="inlineStr">
        <is>
          <t>头均成本(元)</t>
        </is>
      </c>
      <c r="R3" s="3" t="inlineStr">
        <is>
          <t>头均收入(元)</t>
        </is>
      </c>
      <c r="S3" s="3" t="inlineStr">
        <is>
          <t>头均盈利(元)</t>
        </is>
      </c>
    </row>
    <row r="6">
      <c r="A6" s="4">
        <f>'③演算-数据录入'!A6</f>
        <v/>
      </c>
      <c r="B6" s="20">
        <f>('③演算-数据录入'!B6+'③演算-数据录入'!C6)/2</f>
        <v/>
      </c>
      <c r="C6" s="18">
        <f>('③演算-数据录入'!D6+'③演算-数据录入'!L6)/2</f>
        <v/>
      </c>
      <c r="D6" s="10">
        <f>IF(C6=0,"",'③演算-数据录入'!H6/C6)</f>
        <v/>
      </c>
      <c r="E6" s="10">
        <f>IF('③演算-数据录入'!M6=0,"",'③演算-数据录入'!N6/'③演算-数据录入'!M6)</f>
        <v/>
      </c>
      <c r="F6" s="21">
        <f>IF('③演算-数据录入'!N6=0,"",'③演算-数据录入'!O6/'③演算-数据录入'!N6)</f>
        <v/>
      </c>
      <c r="G6" s="10">
        <f>IF('③演算-数据录入'!O6=0,"",'③演算-数据录入'!P6/'③演算-数据录入'!O6)</f>
        <v/>
      </c>
      <c r="H6" s="21">
        <f>IF('③演算-数据录入'!R6=0,"",'③演算-数据录入'!Q6/'③演算-数据录入'!R6)</f>
        <v/>
      </c>
      <c r="I6" s="19">
        <f>IF('③演算-数据录入'!G6=0,"",'③演算-数据录入'!AJ6/'③演算-数据录入'!G6)</f>
        <v/>
      </c>
      <c r="J6" s="10">
        <f>IF('③演算-数据录入'!S6=0,"",'③演算-数据录入'!T6/'③演算-数据录入'!S6)</f>
        <v/>
      </c>
      <c r="K6" s="10">
        <f>IF('③演算-数据录入'!U6=0,"",'③演算-数据录入'!V6/'③演算-数据录入'!U6)</f>
        <v/>
      </c>
      <c r="L6" s="10">
        <f>IF('③演算-数据录入'!W6=0,"",'③演算-数据录入'!X6/'③演算-数据录入'!W6)</f>
        <v/>
      </c>
      <c r="M6" s="10">
        <f>IF('③演算-数据录入'!Y6=0,"",'③演算-数据录入'!Z6/'③演算-数据录入'!Y6)</f>
        <v/>
      </c>
      <c r="N6" s="10">
        <f>IF('③演算-数据录入'!AA6=0,"",'③演算-数据录入'!AB6/'③演算-数据录入'!AA6)</f>
        <v/>
      </c>
      <c r="O6" s="10">
        <f>IF('③演算-数据录入'!AC6=0,"",'③演算-数据录入'!AD6/'③演算-数据录入'!AC6)</f>
        <v/>
      </c>
      <c r="P6" s="10">
        <f>IF('③演算-数据录入'!AE6=0,"",1-'③演算-数据录入'!AF6/'③演算-数据录入'!AE6)</f>
        <v/>
      </c>
      <c r="Q6" s="18">
        <f>IF('③演算-数据录入'!G6=0,"",('③演算-数据录入'!AG6+'③演算-数据录入'!AH6+'③演算-数据录入'!AI6)/'③演算-数据录入'!G6)</f>
        <v/>
      </c>
      <c r="R6" s="18">
        <f>IF('③演算-数据录入'!G6=0,"",'③演算-数据录入'!AK6*'③演算-数据录入'!AJ6/'③演算-数据录入'!G6)</f>
        <v/>
      </c>
      <c r="S6" s="18">
        <f>R6-Q6</f>
        <v/>
      </c>
    </row>
    <row r="7">
      <c r="A7" s="4">
        <f>'③演算-数据录入'!A7</f>
        <v/>
      </c>
      <c r="B7" s="20">
        <f>('③演算-数据录入'!B7+'③演算-数据录入'!C7)/2</f>
        <v/>
      </c>
      <c r="C7" s="18">
        <f>('③演算-数据录入'!D7+'③演算-数据录入'!L7)/2</f>
        <v/>
      </c>
      <c r="D7" s="10">
        <f>IF(C7=0,"",'③演算-数据录入'!H7/C7)</f>
        <v/>
      </c>
      <c r="E7" s="10">
        <f>IF('③演算-数据录入'!M7=0,"",'③演算-数据录入'!N7/'③演算-数据录入'!M7)</f>
        <v/>
      </c>
      <c r="F7" s="21">
        <f>IF('③演算-数据录入'!N7=0,"",'③演算-数据录入'!O7/'③演算-数据录入'!N7)</f>
        <v/>
      </c>
      <c r="G7" s="10">
        <f>IF('③演算-数据录入'!O7=0,"",'③演算-数据录入'!P7/'③演算-数据录入'!O7)</f>
        <v/>
      </c>
      <c r="H7" s="21">
        <f>IF('③演算-数据录入'!R7=0,"",'③演算-数据录入'!Q7/'③演算-数据录入'!R7)</f>
        <v/>
      </c>
      <c r="I7" s="19">
        <f>IF('③演算-数据录入'!G7=0,"",'③演算-数据录入'!AJ7/'③演算-数据录入'!G7)</f>
        <v/>
      </c>
      <c r="J7" s="10">
        <f>IF('③演算-数据录入'!S7=0,"",'③演算-数据录入'!T7/'③演算-数据录入'!S7)</f>
        <v/>
      </c>
      <c r="K7" s="10">
        <f>IF('③演算-数据录入'!U7=0,"",'③演算-数据录入'!V7/'③演算-数据录入'!U7)</f>
        <v/>
      </c>
      <c r="L7" s="10">
        <f>IF('③演算-数据录入'!W7=0,"",'③演算-数据录入'!X7/'③演算-数据录入'!W7)</f>
        <v/>
      </c>
      <c r="M7" s="10">
        <f>IF('③演算-数据录入'!Y7=0,"",'③演算-数据录入'!Z7/'③演算-数据录入'!Y7)</f>
        <v/>
      </c>
      <c r="N7" s="10">
        <f>IF('③演算-数据录入'!AA7=0,"",'③演算-数据录入'!AB7/'③演算-数据录入'!AA7)</f>
        <v/>
      </c>
      <c r="O7" s="10">
        <f>IF('③演算-数据录入'!AC7=0,"",'③演算-数据录入'!AD7/'③演算-数据录入'!AC7)</f>
        <v/>
      </c>
      <c r="P7" s="10">
        <f>IF('③演算-数据录入'!AE7=0,"",1-'③演算-数据录入'!AF7/'③演算-数据录入'!AE7)</f>
        <v/>
      </c>
      <c r="Q7" s="18">
        <f>IF('③演算-数据录入'!G7=0,"",('③演算-数据录入'!AG7+'③演算-数据录入'!AH7+'③演算-数据录入'!AI7)/'③演算-数据录入'!G7)</f>
        <v/>
      </c>
      <c r="R7" s="18">
        <f>IF('③演算-数据录入'!G7=0,"",'③演算-数据录入'!AK7*'③演算-数据录入'!AJ7/'③演算-数据录入'!G7)</f>
        <v/>
      </c>
      <c r="S7" s="18">
        <f>R7-Q7</f>
        <v/>
      </c>
    </row>
    <row r="8">
      <c r="A8" s="4">
        <f>'③演算-数据录入'!A8</f>
        <v/>
      </c>
      <c r="B8" s="20">
        <f>('③演算-数据录入'!B8+'③演算-数据录入'!C8)/2</f>
        <v/>
      </c>
      <c r="C8" s="18">
        <f>('③演算-数据录入'!D8+'③演算-数据录入'!L8)/2</f>
        <v/>
      </c>
      <c r="D8" s="10">
        <f>IF(C8=0,"",'③演算-数据录入'!H8/C8)</f>
        <v/>
      </c>
      <c r="E8" s="10">
        <f>IF('③演算-数据录入'!M8=0,"",'③演算-数据录入'!N8/'③演算-数据录入'!M8)</f>
        <v/>
      </c>
      <c r="F8" s="21">
        <f>IF('③演算-数据录入'!N8=0,"",'③演算-数据录入'!O8/'③演算-数据录入'!N8)</f>
        <v/>
      </c>
      <c r="G8" s="10">
        <f>IF('③演算-数据录入'!O8=0,"",'③演算-数据录入'!P8/'③演算-数据录入'!O8)</f>
        <v/>
      </c>
      <c r="H8" s="21">
        <f>IF('③演算-数据录入'!R8=0,"",'③演算-数据录入'!Q8/'③演算-数据录入'!R8)</f>
        <v/>
      </c>
      <c r="I8" s="19">
        <f>IF('③演算-数据录入'!G8=0,"",'③演算-数据录入'!AJ8/'③演算-数据录入'!G8)</f>
        <v/>
      </c>
      <c r="J8" s="10">
        <f>IF('③演算-数据录入'!S8=0,"",'③演算-数据录入'!T8/'③演算-数据录入'!S8)</f>
        <v/>
      </c>
      <c r="K8" s="10">
        <f>IF('③演算-数据录入'!U8=0,"",'③演算-数据录入'!V8/'③演算-数据录入'!U8)</f>
        <v/>
      </c>
      <c r="L8" s="10">
        <f>IF('③演算-数据录入'!W8=0,"",'③演算-数据录入'!X8/'③演算-数据录入'!W8)</f>
        <v/>
      </c>
      <c r="M8" s="10">
        <f>IF('③演算-数据录入'!Y8=0,"",'③演算-数据录入'!Z8/'③演算-数据录入'!Y8)</f>
        <v/>
      </c>
      <c r="N8" s="10">
        <f>IF('③演算-数据录入'!AA8=0,"",'③演算-数据录入'!AB8/'③演算-数据录入'!AA8)</f>
        <v/>
      </c>
      <c r="O8" s="10">
        <f>IF('③演算-数据录入'!AC8=0,"",'③演算-数据录入'!AD8/'③演算-数据录入'!AC8)</f>
        <v/>
      </c>
      <c r="P8" s="10">
        <f>IF('③演算-数据录入'!AE8=0,"",1-'③演算-数据录入'!AF8/'③演算-数据录入'!AE8)</f>
        <v/>
      </c>
      <c r="Q8" s="18">
        <f>IF('③演算-数据录入'!G8=0,"",('③演算-数据录入'!AG8+'③演算-数据录入'!AH8+'③演算-数据录入'!AI8)/'③演算-数据录入'!G8)</f>
        <v/>
      </c>
      <c r="R8" s="18">
        <f>IF('③演算-数据录入'!G8=0,"",'③演算-数据录入'!AK8*'③演算-数据录入'!AJ8/'③演算-数据录入'!G8)</f>
        <v/>
      </c>
      <c r="S8" s="18">
        <f>R8-Q8</f>
        <v/>
      </c>
    </row>
    <row r="9">
      <c r="A9" s="4">
        <f>'③演算-数据录入'!A9</f>
        <v/>
      </c>
      <c r="B9" s="20">
        <f>('③演算-数据录入'!B9+'③演算-数据录入'!C9)/2</f>
        <v/>
      </c>
      <c r="C9" s="18">
        <f>('③演算-数据录入'!D9+'③演算-数据录入'!L9)/2</f>
        <v/>
      </c>
      <c r="D9" s="10">
        <f>IF(C9=0,"",'③演算-数据录入'!H9/C9)</f>
        <v/>
      </c>
      <c r="E9" s="10">
        <f>IF('③演算-数据录入'!M9=0,"",'③演算-数据录入'!N9/'③演算-数据录入'!M9)</f>
        <v/>
      </c>
      <c r="F9" s="21">
        <f>IF('③演算-数据录入'!N9=0,"",'③演算-数据录入'!O9/'③演算-数据录入'!N9)</f>
        <v/>
      </c>
      <c r="G9" s="10">
        <f>IF('③演算-数据录入'!O9=0,"",'③演算-数据录入'!P9/'③演算-数据录入'!O9)</f>
        <v/>
      </c>
      <c r="H9" s="21">
        <f>IF('③演算-数据录入'!R9=0,"",'③演算-数据录入'!Q9/'③演算-数据录入'!R9)</f>
        <v/>
      </c>
      <c r="I9" s="19">
        <f>IF('③演算-数据录入'!G9=0,"",'③演算-数据录入'!AJ9/'③演算-数据录入'!G9)</f>
        <v/>
      </c>
      <c r="J9" s="10">
        <f>IF('③演算-数据录入'!S9=0,"",'③演算-数据录入'!T9/'③演算-数据录入'!S9)</f>
        <v/>
      </c>
      <c r="K9" s="10">
        <f>IF('③演算-数据录入'!U9=0,"",'③演算-数据录入'!V9/'③演算-数据录入'!U9)</f>
        <v/>
      </c>
      <c r="L9" s="10">
        <f>IF('③演算-数据录入'!W9=0,"",'③演算-数据录入'!X9/'③演算-数据录入'!W9)</f>
        <v/>
      </c>
      <c r="M9" s="10">
        <f>IF('③演算-数据录入'!Y9=0,"",'③演算-数据录入'!Z9/'③演算-数据录入'!Y9)</f>
        <v/>
      </c>
      <c r="N9" s="10">
        <f>IF('③演算-数据录入'!AA9=0,"",'③演算-数据录入'!AB9/'③演算-数据录入'!AA9)</f>
        <v/>
      </c>
      <c r="O9" s="10">
        <f>IF('③演算-数据录入'!AC9=0,"",'③演算-数据录入'!AD9/'③演算-数据录入'!AC9)</f>
        <v/>
      </c>
      <c r="P9" s="10">
        <f>IF('③演算-数据录入'!AE9=0,"",1-'③演算-数据录入'!AF9/'③演算-数据录入'!AE9)</f>
        <v/>
      </c>
      <c r="Q9" s="18">
        <f>IF('③演算-数据录入'!G9=0,"",('③演算-数据录入'!AG9+'③演算-数据录入'!AH9+'③演算-数据录入'!AI9)/'③演算-数据录入'!G9)</f>
        <v/>
      </c>
      <c r="R9" s="18">
        <f>IF('③演算-数据录入'!G9=0,"",'③演算-数据录入'!AK9*'③演算-数据录入'!AJ9/'③演算-数据录入'!G9)</f>
        <v/>
      </c>
      <c r="S9" s="18">
        <f>R9-Q9</f>
        <v/>
      </c>
    </row>
    <row r="10">
      <c r="A10" s="4">
        <f>'③演算-数据录入'!A10</f>
        <v/>
      </c>
      <c r="B10" s="20">
        <f>('③演算-数据录入'!B10+'③演算-数据录入'!C10)/2</f>
        <v/>
      </c>
      <c r="C10" s="18">
        <f>('③演算-数据录入'!D10+'③演算-数据录入'!L10)/2</f>
        <v/>
      </c>
      <c r="D10" s="10">
        <f>IF(C10=0,"",'③演算-数据录入'!H10/C10)</f>
        <v/>
      </c>
      <c r="E10" s="10">
        <f>IF('③演算-数据录入'!M10=0,"",'③演算-数据录入'!N10/'③演算-数据录入'!M10)</f>
        <v/>
      </c>
      <c r="F10" s="21">
        <f>IF('③演算-数据录入'!N10=0,"",'③演算-数据录入'!O10/'③演算-数据录入'!N10)</f>
        <v/>
      </c>
      <c r="G10" s="10">
        <f>IF('③演算-数据录入'!O10=0,"",'③演算-数据录入'!P10/'③演算-数据录入'!O10)</f>
        <v/>
      </c>
      <c r="H10" s="21">
        <f>IF('③演算-数据录入'!R10=0,"",'③演算-数据录入'!Q10/'③演算-数据录入'!R10)</f>
        <v/>
      </c>
      <c r="I10" s="19">
        <f>IF('③演算-数据录入'!G10=0,"",'③演算-数据录入'!AJ10/'③演算-数据录入'!G10)</f>
        <v/>
      </c>
      <c r="J10" s="10">
        <f>IF('③演算-数据录入'!S10=0,"",'③演算-数据录入'!T10/'③演算-数据录入'!S10)</f>
        <v/>
      </c>
      <c r="K10" s="10">
        <f>IF('③演算-数据录入'!U10=0,"",'③演算-数据录入'!V10/'③演算-数据录入'!U10)</f>
        <v/>
      </c>
      <c r="L10" s="10">
        <f>IF('③演算-数据录入'!W10=0,"",'③演算-数据录入'!X10/'③演算-数据录入'!W10)</f>
        <v/>
      </c>
      <c r="M10" s="10">
        <f>IF('③演算-数据录入'!Y10=0,"",'③演算-数据录入'!Z10/'③演算-数据录入'!Y10)</f>
        <v/>
      </c>
      <c r="N10" s="10">
        <f>IF('③演算-数据录入'!AA10=0,"",'③演算-数据录入'!AB10/'③演算-数据录入'!AA10)</f>
        <v/>
      </c>
      <c r="O10" s="10">
        <f>IF('③演算-数据录入'!AC10=0,"",'③演算-数据录入'!AD10/'③演算-数据录入'!AC10)</f>
        <v/>
      </c>
      <c r="P10" s="10">
        <f>IF('③演算-数据录入'!AE10=0,"",1-'③演算-数据录入'!AF10/'③演算-数据录入'!AE10)</f>
        <v/>
      </c>
      <c r="Q10" s="18">
        <f>IF('③演算-数据录入'!G10=0,"",('③演算-数据录入'!AG10+'③演算-数据录入'!AH10+'③演算-数据录入'!AI10)/'③演算-数据录入'!G10)</f>
        <v/>
      </c>
      <c r="R10" s="18">
        <f>IF('③演算-数据录入'!G10=0,"",'③演算-数据录入'!AK10*'③演算-数据录入'!AJ10/'③演算-数据录入'!G10)</f>
        <v/>
      </c>
      <c r="S10" s="18">
        <f>R10-Q10</f>
        <v/>
      </c>
    </row>
    <row r="11">
      <c r="A11" s="4">
        <f>'③演算-数据录入'!A11</f>
        <v/>
      </c>
      <c r="B11" s="20">
        <f>('③演算-数据录入'!B11+'③演算-数据录入'!C11)/2</f>
        <v/>
      </c>
      <c r="C11" s="18">
        <f>('③演算-数据录入'!D11+'③演算-数据录入'!L11)/2</f>
        <v/>
      </c>
      <c r="D11" s="10">
        <f>IF(C11=0,"",'③演算-数据录入'!H11/C11)</f>
        <v/>
      </c>
      <c r="E11" s="10">
        <f>IF('③演算-数据录入'!M11=0,"",'③演算-数据录入'!N11/'③演算-数据录入'!M11)</f>
        <v/>
      </c>
      <c r="F11" s="21">
        <f>IF('③演算-数据录入'!N11=0,"",'③演算-数据录入'!O11/'③演算-数据录入'!N11)</f>
        <v/>
      </c>
      <c r="G11" s="10">
        <f>IF('③演算-数据录入'!O11=0,"",'③演算-数据录入'!P11/'③演算-数据录入'!O11)</f>
        <v/>
      </c>
      <c r="H11" s="21">
        <f>IF('③演算-数据录入'!R11=0,"",'③演算-数据录入'!Q11/'③演算-数据录入'!R11)</f>
        <v/>
      </c>
      <c r="I11" s="19">
        <f>IF('③演算-数据录入'!G11=0,"",'③演算-数据录入'!AJ11/'③演算-数据录入'!G11)</f>
        <v/>
      </c>
      <c r="J11" s="10">
        <f>IF('③演算-数据录入'!S11=0,"",'③演算-数据录入'!T11/'③演算-数据录入'!S11)</f>
        <v/>
      </c>
      <c r="K11" s="10">
        <f>IF('③演算-数据录入'!U11=0,"",'③演算-数据录入'!V11/'③演算-数据录入'!U11)</f>
        <v/>
      </c>
      <c r="L11" s="10">
        <f>IF('③演算-数据录入'!W11=0,"",'③演算-数据录入'!X11/'③演算-数据录入'!W11)</f>
        <v/>
      </c>
      <c r="M11" s="10">
        <f>IF('③演算-数据录入'!Y11=0,"",'③演算-数据录入'!Z11/'③演算-数据录入'!Y11)</f>
        <v/>
      </c>
      <c r="N11" s="10">
        <f>IF('③演算-数据录入'!AA11=0,"",'③演算-数据录入'!AB11/'③演算-数据录入'!AA11)</f>
        <v/>
      </c>
      <c r="O11" s="10">
        <f>IF('③演算-数据录入'!AC11=0,"",'③演算-数据录入'!AD11/'③演算-数据录入'!AC11)</f>
        <v/>
      </c>
      <c r="P11" s="10">
        <f>IF('③演算-数据录入'!AE11=0,"",1-'③演算-数据录入'!AF11/'③演算-数据录入'!AE11)</f>
        <v/>
      </c>
      <c r="Q11" s="18">
        <f>IF('③演算-数据录入'!G11=0,"",('③演算-数据录入'!AG11+'③演算-数据录入'!AH11+'③演算-数据录入'!AI11)/'③演算-数据录入'!G11)</f>
        <v/>
      </c>
      <c r="R11" s="18">
        <f>IF('③演算-数据录入'!G11=0,"",'③演算-数据录入'!AK11*'③演算-数据录入'!AJ11/'③演算-数据录入'!G11)</f>
        <v/>
      </c>
      <c r="S11" s="18">
        <f>R11-Q11</f>
        <v/>
      </c>
    </row>
    <row r="12">
      <c r="A12" s="4">
        <f>'③演算-数据录入'!A12</f>
        <v/>
      </c>
      <c r="B12" s="20">
        <f>('③演算-数据录入'!B12+'③演算-数据录入'!C12)/2</f>
        <v/>
      </c>
      <c r="C12" s="18">
        <f>('③演算-数据录入'!D12+'③演算-数据录入'!L12)/2</f>
        <v/>
      </c>
      <c r="D12" s="10">
        <f>IF(C12=0,"",'③演算-数据录入'!H12/C12)</f>
        <v/>
      </c>
      <c r="E12" s="10">
        <f>IF('③演算-数据录入'!M12=0,"",'③演算-数据录入'!N12/'③演算-数据录入'!M12)</f>
        <v/>
      </c>
      <c r="F12" s="21">
        <f>IF('③演算-数据录入'!N12=0,"",'③演算-数据录入'!O12/'③演算-数据录入'!N12)</f>
        <v/>
      </c>
      <c r="G12" s="10">
        <f>IF('③演算-数据录入'!O12=0,"",'③演算-数据录入'!P12/'③演算-数据录入'!O12)</f>
        <v/>
      </c>
      <c r="H12" s="21">
        <f>IF('③演算-数据录入'!R12=0,"",'③演算-数据录入'!Q12/'③演算-数据录入'!R12)</f>
        <v/>
      </c>
      <c r="I12" s="19">
        <f>IF('③演算-数据录入'!G12=0,"",'③演算-数据录入'!AJ12/'③演算-数据录入'!G12)</f>
        <v/>
      </c>
      <c r="J12" s="10">
        <f>IF('③演算-数据录入'!S12=0,"",'③演算-数据录入'!T12/'③演算-数据录入'!S12)</f>
        <v/>
      </c>
      <c r="K12" s="10">
        <f>IF('③演算-数据录入'!U12=0,"",'③演算-数据录入'!V12/'③演算-数据录入'!U12)</f>
        <v/>
      </c>
      <c r="L12" s="10">
        <f>IF('③演算-数据录入'!W12=0,"",'③演算-数据录入'!X12/'③演算-数据录入'!W12)</f>
        <v/>
      </c>
      <c r="M12" s="10">
        <f>IF('③演算-数据录入'!Y12=0,"",'③演算-数据录入'!Z12/'③演算-数据录入'!Y12)</f>
        <v/>
      </c>
      <c r="N12" s="10">
        <f>IF('③演算-数据录入'!AA12=0,"",'③演算-数据录入'!AB12/'③演算-数据录入'!AA12)</f>
        <v/>
      </c>
      <c r="O12" s="10">
        <f>IF('③演算-数据录入'!AC12=0,"",'③演算-数据录入'!AD12/'③演算-数据录入'!AC12)</f>
        <v/>
      </c>
      <c r="P12" s="10">
        <f>IF('③演算-数据录入'!AE12=0,"",1-'③演算-数据录入'!AF12/'③演算-数据录入'!AE12)</f>
        <v/>
      </c>
      <c r="Q12" s="18">
        <f>IF('③演算-数据录入'!G12=0,"",('③演算-数据录入'!AG12+'③演算-数据录入'!AH12+'③演算-数据录入'!AI12)/'③演算-数据录入'!G12)</f>
        <v/>
      </c>
      <c r="R12" s="18">
        <f>IF('③演算-数据录入'!G12=0,"",'③演算-数据录入'!AK12*'③演算-数据录入'!AJ12/'③演算-数据录入'!G12)</f>
        <v/>
      </c>
      <c r="S12" s="18">
        <f>R12-Q12</f>
        <v/>
      </c>
    </row>
    <row r="13">
      <c r="A13" s="4">
        <f>'③演算-数据录入'!A13</f>
        <v/>
      </c>
      <c r="B13" s="20">
        <f>('③演算-数据录入'!B13+'③演算-数据录入'!C13)/2</f>
        <v/>
      </c>
      <c r="C13" s="18">
        <f>('③演算-数据录入'!D13+'③演算-数据录入'!L13)/2</f>
        <v/>
      </c>
      <c r="D13" s="10">
        <f>IF(C13=0,"",'③演算-数据录入'!H13/C13)</f>
        <v/>
      </c>
      <c r="E13" s="10">
        <f>IF('③演算-数据录入'!M13=0,"",'③演算-数据录入'!N13/'③演算-数据录入'!M13)</f>
        <v/>
      </c>
      <c r="F13" s="21">
        <f>IF('③演算-数据录入'!N13=0,"",'③演算-数据录入'!O13/'③演算-数据录入'!N13)</f>
        <v/>
      </c>
      <c r="G13" s="10">
        <f>IF('③演算-数据录入'!O13=0,"",'③演算-数据录入'!P13/'③演算-数据录入'!O13)</f>
        <v/>
      </c>
      <c r="H13" s="21">
        <f>IF('③演算-数据录入'!R13=0,"",'③演算-数据录入'!Q13/'③演算-数据录入'!R13)</f>
        <v/>
      </c>
      <c r="I13" s="19">
        <f>IF('③演算-数据录入'!G13=0,"",'③演算-数据录入'!AJ13/'③演算-数据录入'!G13)</f>
        <v/>
      </c>
      <c r="J13" s="10">
        <f>IF('③演算-数据录入'!S13=0,"",'③演算-数据录入'!T13/'③演算-数据录入'!S13)</f>
        <v/>
      </c>
      <c r="K13" s="10">
        <f>IF('③演算-数据录入'!U13=0,"",'③演算-数据录入'!V13/'③演算-数据录入'!U13)</f>
        <v/>
      </c>
      <c r="L13" s="10">
        <f>IF('③演算-数据录入'!W13=0,"",'③演算-数据录入'!X13/'③演算-数据录入'!W13)</f>
        <v/>
      </c>
      <c r="M13" s="10">
        <f>IF('③演算-数据录入'!Y13=0,"",'③演算-数据录入'!Z13/'③演算-数据录入'!Y13)</f>
        <v/>
      </c>
      <c r="N13" s="10">
        <f>IF('③演算-数据录入'!AA13=0,"",'③演算-数据录入'!AB13/'③演算-数据录入'!AA13)</f>
        <v/>
      </c>
      <c r="O13" s="10">
        <f>IF('③演算-数据录入'!AC13=0,"",'③演算-数据录入'!AD13/'③演算-数据录入'!AC13)</f>
        <v/>
      </c>
      <c r="P13" s="10">
        <f>IF('③演算-数据录入'!AE13=0,"",1-'③演算-数据录入'!AF13/'③演算-数据录入'!AE13)</f>
        <v/>
      </c>
      <c r="Q13" s="18">
        <f>IF('③演算-数据录入'!G13=0,"",('③演算-数据录入'!AG13+'③演算-数据录入'!AH13+'③演算-数据录入'!AI13)/'③演算-数据录入'!G13)</f>
        <v/>
      </c>
      <c r="R13" s="18">
        <f>IF('③演算-数据录入'!G13=0,"",'③演算-数据录入'!AK13*'③演算-数据录入'!AJ13/'③演算-数据录入'!G13)</f>
        <v/>
      </c>
      <c r="S13" s="18">
        <f>R13-Q13</f>
        <v/>
      </c>
    </row>
    <row r="14">
      <c r="A14" s="4">
        <f>'③演算-数据录入'!A14</f>
        <v/>
      </c>
      <c r="B14" s="20">
        <f>('③演算-数据录入'!B14+'③演算-数据录入'!C14)/2</f>
        <v/>
      </c>
      <c r="C14" s="18">
        <f>('③演算-数据录入'!D14+'③演算-数据录入'!L14)/2</f>
        <v/>
      </c>
      <c r="D14" s="10">
        <f>IF(C14=0,"",'③演算-数据录入'!H14/C14)</f>
        <v/>
      </c>
      <c r="E14" s="10">
        <f>IF('③演算-数据录入'!M14=0,"",'③演算-数据录入'!N14/'③演算-数据录入'!M14)</f>
        <v/>
      </c>
      <c r="F14" s="21">
        <f>IF('③演算-数据录入'!N14=0,"",'③演算-数据录入'!O14/'③演算-数据录入'!N14)</f>
        <v/>
      </c>
      <c r="G14" s="10">
        <f>IF('③演算-数据录入'!O14=0,"",'③演算-数据录入'!P14/'③演算-数据录入'!O14)</f>
        <v/>
      </c>
      <c r="H14" s="21">
        <f>IF('③演算-数据录入'!R14=0,"",'③演算-数据录入'!Q14/'③演算-数据录入'!R14)</f>
        <v/>
      </c>
      <c r="I14" s="19">
        <f>IF('③演算-数据录入'!G14=0,"",'③演算-数据录入'!AJ14/'③演算-数据录入'!G14)</f>
        <v/>
      </c>
      <c r="J14" s="10">
        <f>IF('③演算-数据录入'!S14=0,"",'③演算-数据录入'!T14/'③演算-数据录入'!S14)</f>
        <v/>
      </c>
      <c r="K14" s="10">
        <f>IF('③演算-数据录入'!U14=0,"",'③演算-数据录入'!V14/'③演算-数据录入'!U14)</f>
        <v/>
      </c>
      <c r="L14" s="10">
        <f>IF('③演算-数据录入'!W14=0,"",'③演算-数据录入'!X14/'③演算-数据录入'!W14)</f>
        <v/>
      </c>
      <c r="M14" s="10">
        <f>IF('③演算-数据录入'!Y14=0,"",'③演算-数据录入'!Z14/'③演算-数据录入'!Y14)</f>
        <v/>
      </c>
      <c r="N14" s="10">
        <f>IF('③演算-数据录入'!AA14=0,"",'③演算-数据录入'!AB14/'③演算-数据录入'!AA14)</f>
        <v/>
      </c>
      <c r="O14" s="10">
        <f>IF('③演算-数据录入'!AC14=0,"",'③演算-数据录入'!AD14/'③演算-数据录入'!AC14)</f>
        <v/>
      </c>
      <c r="P14" s="10">
        <f>IF('③演算-数据录入'!AE14=0,"",1-'③演算-数据录入'!AF14/'③演算-数据录入'!AE14)</f>
        <v/>
      </c>
      <c r="Q14" s="18">
        <f>IF('③演算-数据录入'!G14=0,"",('③演算-数据录入'!AG14+'③演算-数据录入'!AH14+'③演算-数据录入'!AI14)/'③演算-数据录入'!G14)</f>
        <v/>
      </c>
      <c r="R14" s="18">
        <f>IF('③演算-数据录入'!G14=0,"",'③演算-数据录入'!AK14*'③演算-数据录入'!AJ14/'③演算-数据录入'!G14)</f>
        <v/>
      </c>
      <c r="S14" s="18">
        <f>R14-Q14</f>
        <v/>
      </c>
    </row>
    <row r="15">
      <c r="A15" s="4">
        <f>'③演算-数据录入'!A15</f>
        <v/>
      </c>
      <c r="B15" s="20">
        <f>('③演算-数据录入'!B15+'③演算-数据录入'!C15)/2</f>
        <v/>
      </c>
      <c r="C15" s="18">
        <f>('③演算-数据录入'!D15+'③演算-数据录入'!L15)/2</f>
        <v/>
      </c>
      <c r="D15" s="10">
        <f>IF(C15=0,"",'③演算-数据录入'!H15/C15)</f>
        <v/>
      </c>
      <c r="E15" s="10">
        <f>IF('③演算-数据录入'!M15=0,"",'③演算-数据录入'!N15/'③演算-数据录入'!M15)</f>
        <v/>
      </c>
      <c r="F15" s="21">
        <f>IF('③演算-数据录入'!N15=0,"",'③演算-数据录入'!O15/'③演算-数据录入'!N15)</f>
        <v/>
      </c>
      <c r="G15" s="10">
        <f>IF('③演算-数据录入'!O15=0,"",'③演算-数据录入'!P15/'③演算-数据录入'!O15)</f>
        <v/>
      </c>
      <c r="H15" s="21">
        <f>IF('③演算-数据录入'!R15=0,"",'③演算-数据录入'!Q15/'③演算-数据录入'!R15)</f>
        <v/>
      </c>
      <c r="I15" s="19">
        <f>IF('③演算-数据录入'!G15=0,"",'③演算-数据录入'!AJ15/'③演算-数据录入'!G15)</f>
        <v/>
      </c>
      <c r="J15" s="10">
        <f>IF('③演算-数据录入'!S15=0,"",'③演算-数据录入'!T15/'③演算-数据录入'!S15)</f>
        <v/>
      </c>
      <c r="K15" s="10">
        <f>IF('③演算-数据录入'!U15=0,"",'③演算-数据录入'!V15/'③演算-数据录入'!U15)</f>
        <v/>
      </c>
      <c r="L15" s="10">
        <f>IF('③演算-数据录入'!W15=0,"",'③演算-数据录入'!X15/'③演算-数据录入'!W15)</f>
        <v/>
      </c>
      <c r="M15" s="10">
        <f>IF('③演算-数据录入'!Y15=0,"",'③演算-数据录入'!Z15/'③演算-数据录入'!Y15)</f>
        <v/>
      </c>
      <c r="N15" s="10">
        <f>IF('③演算-数据录入'!AA15=0,"",'③演算-数据录入'!AB15/'③演算-数据录入'!AA15)</f>
        <v/>
      </c>
      <c r="O15" s="10">
        <f>IF('③演算-数据录入'!AC15=0,"",'③演算-数据录入'!AD15/'③演算-数据录入'!AC15)</f>
        <v/>
      </c>
      <c r="P15" s="10">
        <f>IF('③演算-数据录入'!AE15=0,"",1-'③演算-数据录入'!AF15/'③演算-数据录入'!AE15)</f>
        <v/>
      </c>
      <c r="Q15" s="18">
        <f>IF('③演算-数据录入'!G15=0,"",('③演算-数据录入'!AG15+'③演算-数据录入'!AH15+'③演算-数据录入'!AI15)/'③演算-数据录入'!G15)</f>
        <v/>
      </c>
      <c r="R15" s="18">
        <f>IF('③演算-数据录入'!G15=0,"",'③演算-数据录入'!AK15*'③演算-数据录入'!AJ15/'③演算-数据录入'!G15)</f>
        <v/>
      </c>
      <c r="S15" s="18">
        <f>R15-Q15</f>
        <v/>
      </c>
    </row>
    <row r="16">
      <c r="A16" s="4">
        <f>'③演算-数据录入'!A16</f>
        <v/>
      </c>
      <c r="B16" s="20">
        <f>('③演算-数据录入'!B16+'③演算-数据录入'!C16)/2</f>
        <v/>
      </c>
      <c r="C16" s="18">
        <f>('③演算-数据录入'!D16+'③演算-数据录入'!L16)/2</f>
        <v/>
      </c>
      <c r="D16" s="10">
        <f>IF(C16=0,"",'③演算-数据录入'!H16/C16)</f>
        <v/>
      </c>
      <c r="E16" s="10">
        <f>IF('③演算-数据录入'!M16=0,"",'③演算-数据录入'!N16/'③演算-数据录入'!M16)</f>
        <v/>
      </c>
      <c r="F16" s="21">
        <f>IF('③演算-数据录入'!N16=0,"",'③演算-数据录入'!O16/'③演算-数据录入'!N16)</f>
        <v/>
      </c>
      <c r="G16" s="10">
        <f>IF('③演算-数据录入'!O16=0,"",'③演算-数据录入'!P16/'③演算-数据录入'!O16)</f>
        <v/>
      </c>
      <c r="H16" s="21">
        <f>IF('③演算-数据录入'!R16=0,"",'③演算-数据录入'!Q16/'③演算-数据录入'!R16)</f>
        <v/>
      </c>
      <c r="I16" s="19">
        <f>IF('③演算-数据录入'!G16=0,"",'③演算-数据录入'!AJ16/'③演算-数据录入'!G16)</f>
        <v/>
      </c>
      <c r="J16" s="10">
        <f>IF('③演算-数据录入'!S16=0,"",'③演算-数据录入'!T16/'③演算-数据录入'!S16)</f>
        <v/>
      </c>
      <c r="K16" s="10">
        <f>IF('③演算-数据录入'!U16=0,"",'③演算-数据录入'!V16/'③演算-数据录入'!U16)</f>
        <v/>
      </c>
      <c r="L16" s="10">
        <f>IF('③演算-数据录入'!W16=0,"",'③演算-数据录入'!X16/'③演算-数据录入'!W16)</f>
        <v/>
      </c>
      <c r="M16" s="10">
        <f>IF('③演算-数据录入'!Y16=0,"",'③演算-数据录入'!Z16/'③演算-数据录入'!Y16)</f>
        <v/>
      </c>
      <c r="N16" s="10">
        <f>IF('③演算-数据录入'!AA16=0,"",'③演算-数据录入'!AB16/'③演算-数据录入'!AA16)</f>
        <v/>
      </c>
      <c r="O16" s="10">
        <f>IF('③演算-数据录入'!AC16=0,"",'③演算-数据录入'!AD16/'③演算-数据录入'!AC16)</f>
        <v/>
      </c>
      <c r="P16" s="10">
        <f>IF('③演算-数据录入'!AE16=0,"",1-'③演算-数据录入'!AF16/'③演算-数据录入'!AE16)</f>
        <v/>
      </c>
      <c r="Q16" s="18">
        <f>IF('③演算-数据录入'!G16=0,"",('③演算-数据录入'!AG16+'③演算-数据录入'!AH16+'③演算-数据录入'!AI16)/'③演算-数据录入'!G16)</f>
        <v/>
      </c>
      <c r="R16" s="18">
        <f>IF('③演算-数据录入'!G16=0,"",'③演算-数据录入'!AK16*'③演算-数据录入'!AJ16/'③演算-数据录入'!G16)</f>
        <v/>
      </c>
      <c r="S16" s="18">
        <f>R16-Q16</f>
        <v/>
      </c>
    </row>
    <row r="17">
      <c r="A17" s="4">
        <f>'③演算-数据录入'!A17</f>
        <v/>
      </c>
      <c r="B17" s="20">
        <f>('③演算-数据录入'!B17+'③演算-数据录入'!C17)/2</f>
        <v/>
      </c>
      <c r="C17" s="18">
        <f>('③演算-数据录入'!D17+'③演算-数据录入'!L17)/2</f>
        <v/>
      </c>
      <c r="D17" s="10">
        <f>IF(C17=0,"",'③演算-数据录入'!H17/C17)</f>
        <v/>
      </c>
      <c r="E17" s="10">
        <f>IF('③演算-数据录入'!M17=0,"",'③演算-数据录入'!N17/'③演算-数据录入'!M17)</f>
        <v/>
      </c>
      <c r="F17" s="21">
        <f>IF('③演算-数据录入'!N17=0,"",'③演算-数据录入'!O17/'③演算-数据录入'!N17)</f>
        <v/>
      </c>
      <c r="G17" s="10">
        <f>IF('③演算-数据录入'!O17=0,"",'③演算-数据录入'!P17/'③演算-数据录入'!O17)</f>
        <v/>
      </c>
      <c r="H17" s="21">
        <f>IF('③演算-数据录入'!R17=0,"",'③演算-数据录入'!Q17/'③演算-数据录入'!R17)</f>
        <v/>
      </c>
      <c r="I17" s="19">
        <f>IF('③演算-数据录入'!G17=0,"",'③演算-数据录入'!AJ17/'③演算-数据录入'!G17)</f>
        <v/>
      </c>
      <c r="J17" s="10">
        <f>IF('③演算-数据录入'!S17=0,"",'③演算-数据录入'!T17/'③演算-数据录入'!S17)</f>
        <v/>
      </c>
      <c r="K17" s="10">
        <f>IF('③演算-数据录入'!U17=0,"",'③演算-数据录入'!V17/'③演算-数据录入'!U17)</f>
        <v/>
      </c>
      <c r="L17" s="10">
        <f>IF('③演算-数据录入'!W17=0,"",'③演算-数据录入'!X17/'③演算-数据录入'!W17)</f>
        <v/>
      </c>
      <c r="M17" s="10">
        <f>IF('③演算-数据录入'!Y17=0,"",'③演算-数据录入'!Z17/'③演算-数据录入'!Y17)</f>
        <v/>
      </c>
      <c r="N17" s="10">
        <f>IF('③演算-数据录入'!AA17=0,"",'③演算-数据录入'!AB17/'③演算-数据录入'!AA17)</f>
        <v/>
      </c>
      <c r="O17" s="10">
        <f>IF('③演算-数据录入'!AC17=0,"",'③演算-数据录入'!AD17/'③演算-数据录入'!AC17)</f>
        <v/>
      </c>
      <c r="P17" s="10">
        <f>IF('③演算-数据录入'!AE17=0,"",1-'③演算-数据录入'!AF17/'③演算-数据录入'!AE17)</f>
        <v/>
      </c>
      <c r="Q17" s="18">
        <f>IF('③演算-数据录入'!G17=0,"",('③演算-数据录入'!AG17+'③演算-数据录入'!AH17+'③演算-数据录入'!AI17)/'③演算-数据录入'!G17)</f>
        <v/>
      </c>
      <c r="R17" s="18">
        <f>IF('③演算-数据录入'!G17=0,"",'③演算-数据录入'!AK17*'③演算-数据录入'!AJ17/'③演算-数据录入'!G17)</f>
        <v/>
      </c>
      <c r="S17" s="18">
        <f>R17-Q17</f>
        <v/>
      </c>
    </row>
    <row r="20">
      <c r="A20" s="9" t="inlineStr">
        <is>
          <t>年度综合KPI与阈值断言</t>
        </is>
      </c>
    </row>
    <row r="21">
      <c r="A21" s="3" t="inlineStr">
        <is>
          <t>年度指标</t>
        </is>
      </c>
      <c r="B21" s="3" t="inlineStr">
        <is>
          <t>单位</t>
        </is>
      </c>
      <c r="C21" s="3" t="inlineStr">
        <is>
          <t>数值</t>
        </is>
      </c>
      <c r="D21" s="3" t="inlineStr">
        <is>
          <t>参考下限</t>
        </is>
      </c>
      <c r="E21" s="3" t="inlineStr">
        <is>
          <t>参考上限</t>
        </is>
      </c>
      <c r="F21" s="3" t="inlineStr">
        <is>
          <t>优秀/目标</t>
        </is>
      </c>
      <c r="G21" s="3" t="inlineStr">
        <is>
          <t>判定规则</t>
        </is>
      </c>
      <c r="H21" s="3" t="inlineStr">
        <is>
          <t>判定结果</t>
        </is>
      </c>
    </row>
    <row r="22">
      <c r="A22" s="4" t="inlineStr">
        <is>
          <t>PSY</t>
        </is>
      </c>
      <c r="B22" s="5" t="inlineStr">
        <is>
          <t>头</t>
        </is>
      </c>
      <c r="C22" s="19">
        <f>SUM('③演算-数据录入'!P6:P17)/AVERAGE(B6:B17)</f>
        <v/>
      </c>
      <c r="D22" s="19" t="n">
        <v>22</v>
      </c>
      <c r="E22" s="19" t="n">
        <v>28</v>
      </c>
      <c r="F22" s="19" t="n">
        <v>30</v>
      </c>
      <c r="G22" s="4" t="inlineStr">
        <is>
          <t>低于下限=异常；达到目标=优秀</t>
        </is>
      </c>
      <c r="H22" s="5">
        <f>IF(ISNUMBER(D22),IF(C22&lt;D22,"异常",IF(AND(ISNUMBER(F22),C22&gt;=F22),"优秀","达标")),"")</f>
        <v/>
      </c>
    </row>
    <row r="23">
      <c r="A23" s="4" t="inlineStr">
        <is>
          <t>MSY</t>
        </is>
      </c>
      <c r="B23" s="5" t="inlineStr">
        <is>
          <t>头</t>
        </is>
      </c>
      <c r="C23" s="19">
        <f>SUM('③演算-数据录入'!G6:G17)/AVERAGE(B6:B17)</f>
        <v/>
      </c>
      <c r="D23" s="19" t="n">
        <v>20</v>
      </c>
      <c r="E23" s="19" t="n">
        <v>25</v>
      </c>
      <c r="F23" s="19" t="n">
        <v>27</v>
      </c>
      <c r="G23" s="4" t="inlineStr">
        <is>
          <t>低于下限=异常；达到目标=优秀</t>
        </is>
      </c>
      <c r="H23" s="5">
        <f>IF(ISNUMBER(D23),IF(C23&lt;D23,"异常",IF(AND(ISNUMBER(F23),C23&gt;=F23),"优秀","达标")),"")</f>
        <v/>
      </c>
    </row>
    <row r="24">
      <c r="A24" s="4" t="inlineStr">
        <is>
          <t>母猪年产胎次</t>
        </is>
      </c>
      <c r="B24" s="5" t="inlineStr">
        <is>
          <t>胎</t>
        </is>
      </c>
      <c r="C24" s="19">
        <f>SUM('③演算-数据录入'!N6:N17)/AVERAGE(B6:B17)</f>
        <v/>
      </c>
      <c r="D24" s="19" t="n">
        <v>2.2</v>
      </c>
      <c r="E24" s="19" t="n">
        <v>2.4</v>
      </c>
      <c r="F24" s="19" t="n">
        <v>2.45</v>
      </c>
      <c r="G24" s="4" t="inlineStr">
        <is>
          <t>低于下限=异常；达到目标=优秀</t>
        </is>
      </c>
      <c r="H24" s="5">
        <f>IF(ISNUMBER(D24),IF(C24&lt;D24,"异常",IF(AND(ISNUMBER(F24),C24&gt;=F24),"优秀","达标")),"")</f>
        <v/>
      </c>
    </row>
    <row r="25">
      <c r="A25" s="4" t="inlineStr">
        <is>
          <t>胎均活仔</t>
        </is>
      </c>
      <c r="B25" s="5" t="inlineStr">
        <is>
          <t>头</t>
        </is>
      </c>
      <c r="C25" s="19">
        <f>SUM('③演算-数据录入'!O6:O17)/SUM('③演算-数据录入'!N6:N17)</f>
        <v/>
      </c>
      <c r="D25" s="19" t="n">
        <v>10</v>
      </c>
      <c r="E25" s="19" t="n">
        <v>13</v>
      </c>
      <c r="F25" s="19" t="n">
        <v>13</v>
      </c>
      <c r="G25" s="4" t="inlineStr">
        <is>
          <t>落在区间=达标；达到目标=优秀</t>
        </is>
      </c>
      <c r="H25" s="5">
        <f>IF(OR(C25&lt;D25,C25&gt;E25),"异常",IF(AND(ISNUMBER(F25),C25&gt;=F25),"优秀","达标"))</f>
        <v/>
      </c>
    </row>
    <row r="26">
      <c r="A26" s="4" t="inlineStr">
        <is>
          <t>全程成活率</t>
        </is>
      </c>
      <c r="B26" s="5" t="inlineStr">
        <is>
          <t>%</t>
        </is>
      </c>
      <c r="C26" s="10">
        <f>SUM('③演算-数据录入'!G6:G17)/SUM('③演算-数据录入'!O6:O17)</f>
        <v/>
      </c>
      <c r="D26" s="10" t="n">
        <v>0.85</v>
      </c>
      <c r="E26" s="10" t="n">
        <v>0.92</v>
      </c>
      <c r="F26" s="10" t="n">
        <v>0.93</v>
      </c>
      <c r="G26" s="4" t="inlineStr">
        <is>
          <t>低于下限=异常；达到目标=优秀</t>
        </is>
      </c>
      <c r="H26" s="5">
        <f>IF(ISNUMBER(D26),IF(C26&lt;D26,"异常",IF(AND(ISNUMBER(F26),C26&gt;=F26),"优秀","达标")),"")</f>
        <v/>
      </c>
    </row>
    <row r="27">
      <c r="A27" s="4" t="inlineStr">
        <is>
          <t>月均死亡率</t>
        </is>
      </c>
      <c r="B27" s="5" t="inlineStr">
        <is>
          <t>%</t>
        </is>
      </c>
      <c r="C27" s="10">
        <f>AVERAGE(D6:D17)</f>
        <v/>
      </c>
      <c r="D27" s="10" t="n"/>
      <c r="E27" s="10" t="n">
        <v>0.015</v>
      </c>
      <c r="F27" s="10" t="n">
        <v>0.01</v>
      </c>
      <c r="G27" s="4" t="inlineStr">
        <is>
          <t>超过上限=异常；达到目标=优秀</t>
        </is>
      </c>
      <c r="H27" s="5">
        <f>IF(ISNUMBER(E27),IF(C27&gt;E27,"异常",IF(AND(ISNUMBER(F27),C27&lt;=F27),"优秀","达标")),"")</f>
        <v/>
      </c>
    </row>
    <row r="28">
      <c r="A28" s="4" t="inlineStr">
        <is>
          <t>年料肉比</t>
        </is>
      </c>
      <c r="B28" s="5" t="inlineStr">
        <is>
          <t>:1</t>
        </is>
      </c>
      <c r="C28" s="21">
        <f>SUM('③演算-数据录入'!Q6:Q17)/SUM('③演算-数据录入'!R6:R17)</f>
        <v/>
      </c>
      <c r="D28" s="21" t="n">
        <v>3</v>
      </c>
      <c r="E28" s="21" t="n">
        <v>3.4</v>
      </c>
      <c r="F28" s="21" t="n">
        <v>2.9</v>
      </c>
      <c r="G28" s="4" t="inlineStr">
        <is>
          <t>超过上限=异常；达到目标=优秀</t>
        </is>
      </c>
      <c r="H28" s="5">
        <f>IF(ISNUMBER(E28),IF(C28&gt;E28,"异常",IF(AND(ISNUMBER(F28),C28&lt;=F28),"优秀","达标")),"")</f>
        <v/>
      </c>
    </row>
    <row r="29">
      <c r="A29" s="4" t="inlineStr">
        <is>
          <t>年出栏均重</t>
        </is>
      </c>
      <c r="B29" s="5" t="inlineStr">
        <is>
          <t>kg</t>
        </is>
      </c>
      <c r="C29" s="22">
        <f>SUM('③演算-数据录入'!AJ6:AJ17)/SUM('③演算-数据录入'!G6:G17)</f>
        <v/>
      </c>
      <c r="D29" s="22" t="n">
        <v>110</v>
      </c>
      <c r="E29" s="22" t="n">
        <v>130</v>
      </c>
      <c r="F29" s="22" t="n">
        <v>125</v>
      </c>
      <c r="G29" s="4" t="inlineStr">
        <is>
          <t>落在区间=达标；达到目标=优秀</t>
        </is>
      </c>
      <c r="H29" s="5">
        <f>IF(OR(C29&lt;D29,C29&gt;E29),"异常",IF(AND(ISNUMBER(F29),C29&gt;=F29),"优秀","达标"))</f>
        <v/>
      </c>
    </row>
    <row r="30">
      <c r="A30" s="4" t="inlineStr">
        <is>
          <t>年免疫密度</t>
        </is>
      </c>
      <c r="B30" s="5" t="inlineStr">
        <is>
          <t>%</t>
        </is>
      </c>
      <c r="C30" s="10">
        <f>SUM('③演算-数据录入'!T6:T17)/SUM('③演算-数据录入'!S6:S17)</f>
        <v/>
      </c>
      <c r="D30" s="10" t="n"/>
      <c r="E30" s="10" t="n"/>
      <c r="F30" s="10" t="n">
        <v>1</v>
      </c>
      <c r="G30" s="4" t="inlineStr">
        <is>
          <t>达到目标=达标，否则异常</t>
        </is>
      </c>
      <c r="H30" s="5">
        <f>IF(C30&gt;=F30,"达标","异常")</f>
        <v/>
      </c>
    </row>
    <row r="31">
      <c r="A31" s="4" t="inlineStr">
        <is>
          <t>年抗体合格率</t>
        </is>
      </c>
      <c r="B31" s="5" t="inlineStr">
        <is>
          <t>%</t>
        </is>
      </c>
      <c r="C31" s="10">
        <f>SUM('③演算-数据录入'!V6:V17)/SUM('③演算-数据录入'!U6:U17)</f>
        <v/>
      </c>
      <c r="D31" s="10" t="n">
        <v>0.9</v>
      </c>
      <c r="E31" s="10" t="n"/>
      <c r="F31" s="10" t="n">
        <v>0.95</v>
      </c>
      <c r="G31" s="4" t="inlineStr">
        <is>
          <t>低于下限=异常；达到目标=优秀</t>
        </is>
      </c>
      <c r="H31" s="5">
        <f>IF(ISNUMBER(D31),IF(C31&lt;D31,"异常",IF(AND(ISNUMBER(F31),C31&gt;=F31),"优秀","达标")),"")</f>
        <v/>
      </c>
    </row>
    <row r="32">
      <c r="A32" s="4" t="inlineStr">
        <is>
          <t>年休药期合规率</t>
        </is>
      </c>
      <c r="B32" s="5" t="inlineStr">
        <is>
          <t>%</t>
        </is>
      </c>
      <c r="C32" s="10">
        <f>SUM('③演算-数据录入'!X6:X17)/SUM('③演算-数据录入'!W6:W17)</f>
        <v/>
      </c>
      <c r="D32" s="10" t="n"/>
      <c r="E32" s="10" t="n"/>
      <c r="F32" s="10" t="n">
        <v>1</v>
      </c>
      <c r="G32" s="4" t="inlineStr">
        <is>
          <t>达到目标=达标，否则异常</t>
        </is>
      </c>
      <c r="H32" s="5">
        <f>IF(C32&gt;=F32,"达标","异常")</f>
        <v/>
      </c>
    </row>
    <row r="33">
      <c r="A33" s="4" t="inlineStr">
        <is>
          <t>年无害化处理率</t>
        </is>
      </c>
      <c r="B33" s="5" t="inlineStr">
        <is>
          <t>%</t>
        </is>
      </c>
      <c r="C33" s="10">
        <f>SUM('③演算-数据录入'!Z6:Z17)/SUM('③演算-数据录入'!Y6:Y17)</f>
        <v/>
      </c>
      <c r="D33" s="10" t="n"/>
      <c r="E33" s="10" t="n"/>
      <c r="F33" s="10" t="n">
        <v>1</v>
      </c>
      <c r="G33" s="4" t="inlineStr">
        <is>
          <t>达到目标=达标，否则异常</t>
        </is>
      </c>
      <c r="H33" s="5">
        <f>IF(C33&gt;=F33,"达标","异常")</f>
        <v/>
      </c>
    </row>
    <row r="34">
      <c r="A34" s="4" t="inlineStr">
        <is>
          <t>年标识佩戴率</t>
        </is>
      </c>
      <c r="B34" s="5" t="inlineStr">
        <is>
          <t>%</t>
        </is>
      </c>
      <c r="C34" s="10">
        <f>SUM('③演算-数据录入'!AB6:AB17)/SUM('③演算-数据录入'!AA6:AA17)</f>
        <v/>
      </c>
      <c r="D34" s="10" t="n"/>
      <c r="E34" s="10" t="n"/>
      <c r="F34" s="10" t="n">
        <v>1</v>
      </c>
      <c r="G34" s="4" t="inlineStr">
        <is>
          <t>达到目标=达标，否则异常</t>
        </is>
      </c>
      <c r="H34" s="5">
        <f>IF(C34&gt;=F34,"达标","异常")</f>
        <v/>
      </c>
    </row>
    <row r="35">
      <c r="A35" s="4" t="inlineStr">
        <is>
          <t>年温度达标率</t>
        </is>
      </c>
      <c r="B35" s="5" t="inlineStr">
        <is>
          <t>%</t>
        </is>
      </c>
      <c r="C35" s="10">
        <f>SUM('③演算-数据录入'!AD6:AD17)/SUM('③演算-数据录入'!AC6:AC17)</f>
        <v/>
      </c>
      <c r="D35" s="10" t="n">
        <v>0.9</v>
      </c>
      <c r="E35" s="10" t="n"/>
      <c r="F35" s="10" t="n">
        <v>0.95</v>
      </c>
      <c r="G35" s="4" t="inlineStr">
        <is>
          <t>低于下限=异常；达到目标=优秀</t>
        </is>
      </c>
      <c r="H35" s="5">
        <f>IF(ISNUMBER(D35),IF(C35&lt;D35,"异常",IF(AND(ISNUMBER(F35),C35&gt;=F35),"优秀","达标")),"")</f>
        <v/>
      </c>
    </row>
    <row r="36">
      <c r="A36" s="4" t="inlineStr">
        <is>
          <t>年氨气达标率</t>
        </is>
      </c>
      <c r="B36" s="5" t="inlineStr">
        <is>
          <t>%</t>
        </is>
      </c>
      <c r="C36" s="10">
        <f>1-SUM('③演算-数据录入'!AF6:AF17)/SUM('③演算-数据录入'!AE6:AE17)</f>
        <v/>
      </c>
      <c r="D36" s="10" t="n"/>
      <c r="E36" s="10" t="n"/>
      <c r="F36" s="10" t="n">
        <v>0.95</v>
      </c>
      <c r="G36" s="4" t="inlineStr">
        <is>
          <t>达到目标=达标，否则异常</t>
        </is>
      </c>
      <c r="H36" s="5">
        <f>IF(C36&gt;=F36,"达标","异常")</f>
        <v/>
      </c>
    </row>
    <row r="37">
      <c r="A37" s="4" t="inlineStr">
        <is>
          <t>头均兽药成本</t>
        </is>
      </c>
      <c r="B37" s="5" t="inlineStr">
        <is>
          <t>元</t>
        </is>
      </c>
      <c r="C37" s="22">
        <f>SUM('③演算-数据录入'!AH6:AH17)/SUM('③演算-数据录入'!G6:G17)</f>
        <v/>
      </c>
      <c r="D37" s="22" t="n">
        <v>50</v>
      </c>
      <c r="E37" s="22" t="n">
        <v>120</v>
      </c>
      <c r="F37" s="22" t="n"/>
      <c r="G37" s="4" t="inlineStr">
        <is>
          <t>落在区间=达标；达到目标=优秀</t>
        </is>
      </c>
      <c r="H37" s="5">
        <f>IF(OR(C37&lt;D37,C37&gt;E37),"异常",IF(AND(ISNUMBER(F37),C37&gt;=F37),"优秀","达标"))</f>
        <v/>
      </c>
    </row>
    <row r="38">
      <c r="A38" s="4" t="inlineStr">
        <is>
          <t>全程头均成本</t>
        </is>
      </c>
      <c r="B38" s="5" t="inlineStr">
        <is>
          <t>元</t>
        </is>
      </c>
      <c r="C38" s="22">
        <f>(SUM('③演算-数据录入'!AG6:AG17)+SUM('③演算-数据录入'!AH6:AH17)+SUM('③演算-数据录入'!AI6:AI17))/SUM('③演算-数据录入'!G6:G17)</f>
        <v/>
      </c>
      <c r="D38" s="22" t="n"/>
      <c r="E38" s="22" t="n"/>
      <c r="F38" s="22" t="n"/>
      <c r="G38" s="4" t="inlineStr">
        <is>
          <t>无统一参考，不判定</t>
        </is>
      </c>
      <c r="H38" s="5">
        <f>""</f>
        <v/>
      </c>
    </row>
    <row r="39">
      <c r="A39" s="4" t="inlineStr">
        <is>
          <t>头均盈利</t>
        </is>
      </c>
      <c r="B39" s="5" t="inlineStr">
        <is>
          <t>元</t>
        </is>
      </c>
      <c r="C39" s="22">
        <f>(SUMPRODUCT('③演算-数据录入'!AK6:AK17,'③演算-数据录入'!AJ6:AJ17)-SUM('③演算-数据录入'!AG6:AG17)-SUM('③演算-数据录入'!AH6:AH17)-SUM('③演算-数据录入'!AI6:AI17))/SUM('③演算-数据录入'!G6:G17)</f>
        <v/>
      </c>
      <c r="D39" s="22" t="n"/>
      <c r="E39" s="22" t="n"/>
      <c r="F39" s="22" t="n"/>
      <c r="G39" s="4" t="inlineStr">
        <is>
          <t>无统一参考，不判定</t>
        </is>
      </c>
      <c r="H39" s="5">
        <f>""</f>
        <v/>
      </c>
    </row>
  </sheetData>
  <mergeCells count="2">
    <mergeCell ref="A2:S2"/>
    <mergeCell ref="A1:S1"/>
  </mergeCells>
  <conditionalFormatting sqref="D6:D17">
    <cfRule type="cellIs" priority="1" operator="greaterThan" dxfId="0">
      <formula>0.015</formula>
    </cfRule>
  </conditionalFormatting>
  <conditionalFormatting sqref="K6:K17">
    <cfRule type="cellIs" priority="2" operator="lessThan" dxfId="0">
      <formula>0.9</formula>
    </cfRule>
  </conditionalFormatting>
  <conditionalFormatting sqref="S6:S17">
    <cfRule type="cellIs" priority="3" operator="lessThan" dxfId="0">
      <formula>0</formula>
    </cfRule>
    <cfRule type="cellIs" priority="4" operator="greaterThanOrEqual" dxfId="1">
      <formula>0</formula>
    </cfRule>
  </conditionalFormatting>
  <conditionalFormatting sqref="H6:H17">
    <cfRule type="cellIs" priority="5" operator="greaterThan" dxfId="6">
      <formula>3.4</formula>
    </cfRule>
  </conditionalFormatting>
  <conditionalFormatting sqref="H22:H39">
    <cfRule type="cellIs" priority="6" operator="equal" dxfId="0">
      <formula>"异常"</formula>
    </cfRule>
    <cfRule type="cellIs" priority="7" operator="equal" dxfId="2">
      <formula>"优秀"</formula>
    </cfRule>
    <cfRule type="cellIs" priority="8" operator="equal" dxfId="1">
      <formula>"达标"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9" customWidth="1" min="3" max="3"/>
    <col width="10" customWidth="1" min="4" max="4"/>
    <col width="11" customWidth="1" min="5" max="5"/>
    <col width="12" customWidth="1" min="6" max="6"/>
    <col width="10" customWidth="1" min="7" max="7"/>
    <col width="11" customWidth="1" min="8" max="8"/>
    <col width="13" customWidth="1" min="9" max="9"/>
    <col width="12" customWidth="1" min="10" max="10"/>
    <col width="11" customWidth="1" min="11" max="11"/>
    <col width="12" customWidth="1" min="12" max="12"/>
    <col width="12" customWidth="1" min="13" max="13"/>
  </cols>
  <sheetData>
    <row r="1">
      <c r="A1" s="16" t="inlineStr">
        <is>
          <t>⑤ 可视化数据准备（标准月度宽表 · 可直接作为图表数据源）</t>
        </is>
      </c>
    </row>
    <row r="2" ht="30" customHeight="1">
      <c r="A2" s="2" t="inlineStr">
        <is>
          <t>本表结构即为看板数据源：一行一个月、一列一个指标，全部为公式引用④计算结果；图表建议——死亡率/料肉比/抗体合格率用折线（带阈值参考线），合规类用仪表盘或进度条，成本盈利用柱线组合图，年度KPI用大数字卡片。</t>
        </is>
      </c>
    </row>
    <row r="4">
      <c r="A4" s="3" t="inlineStr">
        <is>
          <t>月份</t>
        </is>
      </c>
      <c r="B4" s="3" t="inlineStr">
        <is>
          <t>月死亡率</t>
        </is>
      </c>
      <c r="C4" s="3" t="inlineStr">
        <is>
          <t>料肉比</t>
        </is>
      </c>
      <c r="D4" s="3" t="inlineStr">
        <is>
          <t>胎均活仔</t>
        </is>
      </c>
      <c r="E4" s="3" t="inlineStr">
        <is>
          <t>断奶成活率</t>
        </is>
      </c>
      <c r="F4" s="3" t="inlineStr">
        <is>
          <t>出栏均重(kg)</t>
        </is>
      </c>
      <c r="G4" s="3" t="inlineStr">
        <is>
          <t>免疫密度</t>
        </is>
      </c>
      <c r="H4" s="3" t="inlineStr">
        <is>
          <t>抗体合格率</t>
        </is>
      </c>
      <c r="I4" s="3" t="inlineStr">
        <is>
          <t>休药期合规率</t>
        </is>
      </c>
      <c r="J4" s="3" t="inlineStr">
        <is>
          <t>无害化处理率</t>
        </is>
      </c>
      <c r="K4" s="3" t="inlineStr">
        <is>
          <t>温度达标率</t>
        </is>
      </c>
      <c r="L4" s="3" t="inlineStr">
        <is>
          <t>头均成本(元)</t>
        </is>
      </c>
      <c r="M4" s="3" t="inlineStr">
        <is>
          <t>头均盈利(元)</t>
        </is>
      </c>
    </row>
    <row r="5">
      <c r="A5" s="4">
        <f>'④演算-指标计算'!A6</f>
        <v/>
      </c>
      <c r="B5" s="10">
        <f>'④演算-指标计算'!D6</f>
        <v/>
      </c>
      <c r="C5" s="21">
        <f>'④演算-指标计算'!H6</f>
        <v/>
      </c>
      <c r="D5" s="21">
        <f>'④演算-指标计算'!F6</f>
        <v/>
      </c>
      <c r="E5" s="10">
        <f>'④演算-指标计算'!G6</f>
        <v/>
      </c>
      <c r="F5" s="19">
        <f>'④演算-指标计算'!I6</f>
        <v/>
      </c>
      <c r="G5" s="10">
        <f>'④演算-指标计算'!J6</f>
        <v/>
      </c>
      <c r="H5" s="10">
        <f>'④演算-指标计算'!K6</f>
        <v/>
      </c>
      <c r="I5" s="10">
        <f>'④演算-指标计算'!L6</f>
        <v/>
      </c>
      <c r="J5" s="10">
        <f>'④演算-指标计算'!M6</f>
        <v/>
      </c>
      <c r="K5" s="10">
        <f>'④演算-指标计算'!O6</f>
        <v/>
      </c>
      <c r="L5" s="18">
        <f>'④演算-指标计算'!Q6</f>
        <v/>
      </c>
      <c r="M5" s="18">
        <f>'④演算-指标计算'!S6</f>
        <v/>
      </c>
    </row>
    <row r="6">
      <c r="A6" s="4">
        <f>'④演算-指标计算'!A7</f>
        <v/>
      </c>
      <c r="B6" s="10">
        <f>'④演算-指标计算'!D7</f>
        <v/>
      </c>
      <c r="C6" s="21">
        <f>'④演算-指标计算'!H7</f>
        <v/>
      </c>
      <c r="D6" s="21">
        <f>'④演算-指标计算'!F7</f>
        <v/>
      </c>
      <c r="E6" s="10">
        <f>'④演算-指标计算'!G7</f>
        <v/>
      </c>
      <c r="F6" s="19">
        <f>'④演算-指标计算'!I7</f>
        <v/>
      </c>
      <c r="G6" s="10">
        <f>'④演算-指标计算'!J7</f>
        <v/>
      </c>
      <c r="H6" s="10">
        <f>'④演算-指标计算'!K7</f>
        <v/>
      </c>
      <c r="I6" s="10">
        <f>'④演算-指标计算'!L7</f>
        <v/>
      </c>
      <c r="J6" s="10">
        <f>'④演算-指标计算'!M7</f>
        <v/>
      </c>
      <c r="K6" s="10">
        <f>'④演算-指标计算'!O7</f>
        <v/>
      </c>
      <c r="L6" s="18">
        <f>'④演算-指标计算'!Q7</f>
        <v/>
      </c>
      <c r="M6" s="18">
        <f>'④演算-指标计算'!S7</f>
        <v/>
      </c>
    </row>
    <row r="7">
      <c r="A7" s="4">
        <f>'④演算-指标计算'!A8</f>
        <v/>
      </c>
      <c r="B7" s="10">
        <f>'④演算-指标计算'!D8</f>
        <v/>
      </c>
      <c r="C7" s="21">
        <f>'④演算-指标计算'!H8</f>
        <v/>
      </c>
      <c r="D7" s="21">
        <f>'④演算-指标计算'!F8</f>
        <v/>
      </c>
      <c r="E7" s="10">
        <f>'④演算-指标计算'!G8</f>
        <v/>
      </c>
      <c r="F7" s="19">
        <f>'④演算-指标计算'!I8</f>
        <v/>
      </c>
      <c r="G7" s="10">
        <f>'④演算-指标计算'!J8</f>
        <v/>
      </c>
      <c r="H7" s="10">
        <f>'④演算-指标计算'!K8</f>
        <v/>
      </c>
      <c r="I7" s="10">
        <f>'④演算-指标计算'!L8</f>
        <v/>
      </c>
      <c r="J7" s="10">
        <f>'④演算-指标计算'!M8</f>
        <v/>
      </c>
      <c r="K7" s="10">
        <f>'④演算-指标计算'!O8</f>
        <v/>
      </c>
      <c r="L7" s="18">
        <f>'④演算-指标计算'!Q8</f>
        <v/>
      </c>
      <c r="M7" s="18">
        <f>'④演算-指标计算'!S8</f>
        <v/>
      </c>
    </row>
    <row r="8">
      <c r="A8" s="4">
        <f>'④演算-指标计算'!A9</f>
        <v/>
      </c>
      <c r="B8" s="10">
        <f>'④演算-指标计算'!D9</f>
        <v/>
      </c>
      <c r="C8" s="21">
        <f>'④演算-指标计算'!H9</f>
        <v/>
      </c>
      <c r="D8" s="21">
        <f>'④演算-指标计算'!F9</f>
        <v/>
      </c>
      <c r="E8" s="10">
        <f>'④演算-指标计算'!G9</f>
        <v/>
      </c>
      <c r="F8" s="19">
        <f>'④演算-指标计算'!I9</f>
        <v/>
      </c>
      <c r="G8" s="10">
        <f>'④演算-指标计算'!J9</f>
        <v/>
      </c>
      <c r="H8" s="10">
        <f>'④演算-指标计算'!K9</f>
        <v/>
      </c>
      <c r="I8" s="10">
        <f>'④演算-指标计算'!L9</f>
        <v/>
      </c>
      <c r="J8" s="10">
        <f>'④演算-指标计算'!M9</f>
        <v/>
      </c>
      <c r="K8" s="10">
        <f>'④演算-指标计算'!O9</f>
        <v/>
      </c>
      <c r="L8" s="18">
        <f>'④演算-指标计算'!Q9</f>
        <v/>
      </c>
      <c r="M8" s="18">
        <f>'④演算-指标计算'!S9</f>
        <v/>
      </c>
    </row>
    <row r="9">
      <c r="A9" s="4">
        <f>'④演算-指标计算'!A10</f>
        <v/>
      </c>
      <c r="B9" s="10">
        <f>'④演算-指标计算'!D10</f>
        <v/>
      </c>
      <c r="C9" s="21">
        <f>'④演算-指标计算'!H10</f>
        <v/>
      </c>
      <c r="D9" s="21">
        <f>'④演算-指标计算'!F10</f>
        <v/>
      </c>
      <c r="E9" s="10">
        <f>'④演算-指标计算'!G10</f>
        <v/>
      </c>
      <c r="F9" s="19">
        <f>'④演算-指标计算'!I10</f>
        <v/>
      </c>
      <c r="G9" s="10">
        <f>'④演算-指标计算'!J10</f>
        <v/>
      </c>
      <c r="H9" s="10">
        <f>'④演算-指标计算'!K10</f>
        <v/>
      </c>
      <c r="I9" s="10">
        <f>'④演算-指标计算'!L10</f>
        <v/>
      </c>
      <c r="J9" s="10">
        <f>'④演算-指标计算'!M10</f>
        <v/>
      </c>
      <c r="K9" s="10">
        <f>'④演算-指标计算'!O10</f>
        <v/>
      </c>
      <c r="L9" s="18">
        <f>'④演算-指标计算'!Q10</f>
        <v/>
      </c>
      <c r="M9" s="18">
        <f>'④演算-指标计算'!S10</f>
        <v/>
      </c>
    </row>
    <row r="10">
      <c r="A10" s="4">
        <f>'④演算-指标计算'!A11</f>
        <v/>
      </c>
      <c r="B10" s="10">
        <f>'④演算-指标计算'!D11</f>
        <v/>
      </c>
      <c r="C10" s="21">
        <f>'④演算-指标计算'!H11</f>
        <v/>
      </c>
      <c r="D10" s="21">
        <f>'④演算-指标计算'!F11</f>
        <v/>
      </c>
      <c r="E10" s="10">
        <f>'④演算-指标计算'!G11</f>
        <v/>
      </c>
      <c r="F10" s="19">
        <f>'④演算-指标计算'!I11</f>
        <v/>
      </c>
      <c r="G10" s="10">
        <f>'④演算-指标计算'!J11</f>
        <v/>
      </c>
      <c r="H10" s="10">
        <f>'④演算-指标计算'!K11</f>
        <v/>
      </c>
      <c r="I10" s="10">
        <f>'④演算-指标计算'!L11</f>
        <v/>
      </c>
      <c r="J10" s="10">
        <f>'④演算-指标计算'!M11</f>
        <v/>
      </c>
      <c r="K10" s="10">
        <f>'④演算-指标计算'!O11</f>
        <v/>
      </c>
      <c r="L10" s="18">
        <f>'④演算-指标计算'!Q11</f>
        <v/>
      </c>
      <c r="M10" s="18">
        <f>'④演算-指标计算'!S11</f>
        <v/>
      </c>
    </row>
    <row r="11">
      <c r="A11" s="4">
        <f>'④演算-指标计算'!A12</f>
        <v/>
      </c>
      <c r="B11" s="10">
        <f>'④演算-指标计算'!D12</f>
        <v/>
      </c>
      <c r="C11" s="21">
        <f>'④演算-指标计算'!H12</f>
        <v/>
      </c>
      <c r="D11" s="21">
        <f>'④演算-指标计算'!F12</f>
        <v/>
      </c>
      <c r="E11" s="10">
        <f>'④演算-指标计算'!G12</f>
        <v/>
      </c>
      <c r="F11" s="19">
        <f>'④演算-指标计算'!I12</f>
        <v/>
      </c>
      <c r="G11" s="10">
        <f>'④演算-指标计算'!J12</f>
        <v/>
      </c>
      <c r="H11" s="10">
        <f>'④演算-指标计算'!K12</f>
        <v/>
      </c>
      <c r="I11" s="10">
        <f>'④演算-指标计算'!L12</f>
        <v/>
      </c>
      <c r="J11" s="10">
        <f>'④演算-指标计算'!M12</f>
        <v/>
      </c>
      <c r="K11" s="10">
        <f>'④演算-指标计算'!O12</f>
        <v/>
      </c>
      <c r="L11" s="18">
        <f>'④演算-指标计算'!Q12</f>
        <v/>
      </c>
      <c r="M11" s="18">
        <f>'④演算-指标计算'!S12</f>
        <v/>
      </c>
    </row>
    <row r="12">
      <c r="A12" s="4">
        <f>'④演算-指标计算'!A13</f>
        <v/>
      </c>
      <c r="B12" s="10">
        <f>'④演算-指标计算'!D13</f>
        <v/>
      </c>
      <c r="C12" s="21">
        <f>'④演算-指标计算'!H13</f>
        <v/>
      </c>
      <c r="D12" s="21">
        <f>'④演算-指标计算'!F13</f>
        <v/>
      </c>
      <c r="E12" s="10">
        <f>'④演算-指标计算'!G13</f>
        <v/>
      </c>
      <c r="F12" s="19">
        <f>'④演算-指标计算'!I13</f>
        <v/>
      </c>
      <c r="G12" s="10">
        <f>'④演算-指标计算'!J13</f>
        <v/>
      </c>
      <c r="H12" s="10">
        <f>'④演算-指标计算'!K13</f>
        <v/>
      </c>
      <c r="I12" s="10">
        <f>'④演算-指标计算'!L13</f>
        <v/>
      </c>
      <c r="J12" s="10">
        <f>'④演算-指标计算'!M13</f>
        <v/>
      </c>
      <c r="K12" s="10">
        <f>'④演算-指标计算'!O13</f>
        <v/>
      </c>
      <c r="L12" s="18">
        <f>'④演算-指标计算'!Q13</f>
        <v/>
      </c>
      <c r="M12" s="18">
        <f>'④演算-指标计算'!S13</f>
        <v/>
      </c>
    </row>
    <row r="13">
      <c r="A13" s="4">
        <f>'④演算-指标计算'!A14</f>
        <v/>
      </c>
      <c r="B13" s="10">
        <f>'④演算-指标计算'!D14</f>
        <v/>
      </c>
      <c r="C13" s="21">
        <f>'④演算-指标计算'!H14</f>
        <v/>
      </c>
      <c r="D13" s="21">
        <f>'④演算-指标计算'!F14</f>
        <v/>
      </c>
      <c r="E13" s="10">
        <f>'④演算-指标计算'!G14</f>
        <v/>
      </c>
      <c r="F13" s="19">
        <f>'④演算-指标计算'!I14</f>
        <v/>
      </c>
      <c r="G13" s="10">
        <f>'④演算-指标计算'!J14</f>
        <v/>
      </c>
      <c r="H13" s="10">
        <f>'④演算-指标计算'!K14</f>
        <v/>
      </c>
      <c r="I13" s="10">
        <f>'④演算-指标计算'!L14</f>
        <v/>
      </c>
      <c r="J13" s="10">
        <f>'④演算-指标计算'!M14</f>
        <v/>
      </c>
      <c r="K13" s="10">
        <f>'④演算-指标计算'!O14</f>
        <v/>
      </c>
      <c r="L13" s="18">
        <f>'④演算-指标计算'!Q14</f>
        <v/>
      </c>
      <c r="M13" s="18">
        <f>'④演算-指标计算'!S14</f>
        <v/>
      </c>
    </row>
    <row r="14">
      <c r="A14" s="4">
        <f>'④演算-指标计算'!A15</f>
        <v/>
      </c>
      <c r="B14" s="10">
        <f>'④演算-指标计算'!D15</f>
        <v/>
      </c>
      <c r="C14" s="21">
        <f>'④演算-指标计算'!H15</f>
        <v/>
      </c>
      <c r="D14" s="21">
        <f>'④演算-指标计算'!F15</f>
        <v/>
      </c>
      <c r="E14" s="10">
        <f>'④演算-指标计算'!G15</f>
        <v/>
      </c>
      <c r="F14" s="19">
        <f>'④演算-指标计算'!I15</f>
        <v/>
      </c>
      <c r="G14" s="10">
        <f>'④演算-指标计算'!J15</f>
        <v/>
      </c>
      <c r="H14" s="10">
        <f>'④演算-指标计算'!K15</f>
        <v/>
      </c>
      <c r="I14" s="10">
        <f>'④演算-指标计算'!L15</f>
        <v/>
      </c>
      <c r="J14" s="10">
        <f>'④演算-指标计算'!M15</f>
        <v/>
      </c>
      <c r="K14" s="10">
        <f>'④演算-指标计算'!O15</f>
        <v/>
      </c>
      <c r="L14" s="18">
        <f>'④演算-指标计算'!Q15</f>
        <v/>
      </c>
      <c r="M14" s="18">
        <f>'④演算-指标计算'!S15</f>
        <v/>
      </c>
    </row>
    <row r="15">
      <c r="A15" s="4">
        <f>'④演算-指标计算'!A16</f>
        <v/>
      </c>
      <c r="B15" s="10">
        <f>'④演算-指标计算'!D16</f>
        <v/>
      </c>
      <c r="C15" s="21">
        <f>'④演算-指标计算'!H16</f>
        <v/>
      </c>
      <c r="D15" s="21">
        <f>'④演算-指标计算'!F16</f>
        <v/>
      </c>
      <c r="E15" s="10">
        <f>'④演算-指标计算'!G16</f>
        <v/>
      </c>
      <c r="F15" s="19">
        <f>'④演算-指标计算'!I16</f>
        <v/>
      </c>
      <c r="G15" s="10">
        <f>'④演算-指标计算'!J16</f>
        <v/>
      </c>
      <c r="H15" s="10">
        <f>'④演算-指标计算'!K16</f>
        <v/>
      </c>
      <c r="I15" s="10">
        <f>'④演算-指标计算'!L16</f>
        <v/>
      </c>
      <c r="J15" s="10">
        <f>'④演算-指标计算'!M16</f>
        <v/>
      </c>
      <c r="K15" s="10">
        <f>'④演算-指标计算'!O16</f>
        <v/>
      </c>
      <c r="L15" s="18">
        <f>'④演算-指标计算'!Q16</f>
        <v/>
      </c>
      <c r="M15" s="18">
        <f>'④演算-指标计算'!S16</f>
        <v/>
      </c>
    </row>
    <row r="16">
      <c r="A16" s="4">
        <f>'④演算-指标计算'!A17</f>
        <v/>
      </c>
      <c r="B16" s="10">
        <f>'④演算-指标计算'!D17</f>
        <v/>
      </c>
      <c r="C16" s="21">
        <f>'④演算-指标计算'!H17</f>
        <v/>
      </c>
      <c r="D16" s="21">
        <f>'④演算-指标计算'!F17</f>
        <v/>
      </c>
      <c r="E16" s="10">
        <f>'④演算-指标计算'!G17</f>
        <v/>
      </c>
      <c r="F16" s="19">
        <f>'④演算-指标计算'!I17</f>
        <v/>
      </c>
      <c r="G16" s="10">
        <f>'④演算-指标计算'!J17</f>
        <v/>
      </c>
      <c r="H16" s="10">
        <f>'④演算-指标计算'!K17</f>
        <v/>
      </c>
      <c r="I16" s="10">
        <f>'④演算-指标计算'!L17</f>
        <v/>
      </c>
      <c r="J16" s="10">
        <f>'④演算-指标计算'!M17</f>
        <v/>
      </c>
      <c r="K16" s="10">
        <f>'④演算-指标计算'!O17</f>
        <v/>
      </c>
      <c r="L16" s="18">
        <f>'④演算-指标计算'!Q17</f>
        <v/>
      </c>
      <c r="M16" s="18">
        <f>'④演算-指标计算'!S17</f>
        <v/>
      </c>
    </row>
    <row r="19">
      <c r="A19" s="9" t="inlineStr">
        <is>
          <t>年度KPI卡片数据源（看板顶部大数字卡片）</t>
        </is>
      </c>
    </row>
    <row r="20">
      <c r="A20" s="3" t="inlineStr">
        <is>
          <t>KPI</t>
        </is>
      </c>
      <c r="B20" s="3" t="inlineStr">
        <is>
          <t>数值</t>
        </is>
      </c>
      <c r="C20" s="3" t="inlineStr">
        <is>
          <t>单位</t>
        </is>
      </c>
      <c r="D20" s="3" t="inlineStr">
        <is>
          <t>目标值</t>
        </is>
      </c>
      <c r="E20" s="3" t="inlineStr">
        <is>
          <t>状态</t>
        </is>
      </c>
    </row>
    <row r="21">
      <c r="A21" s="4" t="inlineStr">
        <is>
          <t>PSY</t>
        </is>
      </c>
      <c r="B21" s="19">
        <f>'④演算-指标计算'!C22</f>
        <v/>
      </c>
      <c r="C21" s="5">
        <f>'④演算-指标计算'!B22</f>
        <v/>
      </c>
      <c r="D21" s="19">
        <f>'④演算-指标计算'!F22</f>
        <v/>
      </c>
      <c r="E21" s="5">
        <f>'④演算-指标计算'!H22</f>
        <v/>
      </c>
    </row>
    <row r="22">
      <c r="A22" s="4" t="inlineStr">
        <is>
          <t>MSY</t>
        </is>
      </c>
      <c r="B22" s="19">
        <f>'④演算-指标计算'!C23</f>
        <v/>
      </c>
      <c r="C22" s="5">
        <f>'④演算-指标计算'!B23</f>
        <v/>
      </c>
      <c r="D22" s="19">
        <f>'④演算-指标计算'!F23</f>
        <v/>
      </c>
      <c r="E22" s="5">
        <f>'④演算-指标计算'!H23</f>
        <v/>
      </c>
    </row>
    <row r="23">
      <c r="A23" s="4" t="inlineStr">
        <is>
          <t>全程成活率</t>
        </is>
      </c>
      <c r="B23" s="10">
        <f>'④演算-指标计算'!C26</f>
        <v/>
      </c>
      <c r="C23" s="5">
        <f>'④演算-指标计算'!B26</f>
        <v/>
      </c>
      <c r="D23" s="10">
        <f>'④演算-指标计算'!F26</f>
        <v/>
      </c>
      <c r="E23" s="5">
        <f>'④演算-指标计算'!H26</f>
        <v/>
      </c>
    </row>
    <row r="24">
      <c r="A24" s="4" t="inlineStr">
        <is>
          <t>月均死亡率</t>
        </is>
      </c>
      <c r="B24" s="10">
        <f>'④演算-指标计算'!C27</f>
        <v/>
      </c>
      <c r="C24" s="5">
        <f>'④演算-指标计算'!B27</f>
        <v/>
      </c>
      <c r="D24" s="10">
        <f>'④演算-指标计算'!F27</f>
        <v/>
      </c>
      <c r="E24" s="5">
        <f>'④演算-指标计算'!H27</f>
        <v/>
      </c>
    </row>
    <row r="25">
      <c r="A25" s="4" t="inlineStr">
        <is>
          <t>年料肉比</t>
        </is>
      </c>
      <c r="B25" s="21">
        <f>'④演算-指标计算'!C28</f>
        <v/>
      </c>
      <c r="C25" s="5">
        <f>'④演算-指标计算'!B28</f>
        <v/>
      </c>
      <c r="D25" s="21">
        <f>'④演算-指标计算'!F28</f>
        <v/>
      </c>
      <c r="E25" s="5">
        <f>'④演算-指标计算'!H28</f>
        <v/>
      </c>
    </row>
    <row r="26">
      <c r="A26" s="4" t="inlineStr">
        <is>
          <t>年抗体合格率</t>
        </is>
      </c>
      <c r="B26" s="10">
        <f>'④演算-指标计算'!C31</f>
        <v/>
      </c>
      <c r="C26" s="5">
        <f>'④演算-指标计算'!B31</f>
        <v/>
      </c>
      <c r="D26" s="10">
        <f>'④演算-指标计算'!F31</f>
        <v/>
      </c>
      <c r="E26" s="5">
        <f>'④演算-指标计算'!H31</f>
        <v/>
      </c>
    </row>
    <row r="27">
      <c r="A27" s="4" t="inlineStr">
        <is>
          <t>年休药期合规率</t>
        </is>
      </c>
      <c r="B27" s="10">
        <f>'④演算-指标计算'!C32</f>
        <v/>
      </c>
      <c r="C27" s="5">
        <f>'④演算-指标计算'!B32</f>
        <v/>
      </c>
      <c r="D27" s="10">
        <f>'④演算-指标计算'!F32</f>
        <v/>
      </c>
      <c r="E27" s="5">
        <f>'④演算-指标计算'!H32</f>
        <v/>
      </c>
    </row>
    <row r="28">
      <c r="A28" s="4" t="inlineStr">
        <is>
          <t>年无害化处理率</t>
        </is>
      </c>
      <c r="B28" s="10">
        <f>'④演算-指标计算'!C33</f>
        <v/>
      </c>
      <c r="C28" s="5">
        <f>'④演算-指标计算'!B33</f>
        <v/>
      </c>
      <c r="D28" s="10">
        <f>'④演算-指标计算'!F33</f>
        <v/>
      </c>
      <c r="E28" s="5">
        <f>'④演算-指标计算'!H33</f>
        <v/>
      </c>
    </row>
    <row r="29">
      <c r="A29" s="4" t="inlineStr">
        <is>
          <t>头均盈利</t>
        </is>
      </c>
      <c r="B29" s="18">
        <f>'④演算-指标计算'!C39</f>
        <v/>
      </c>
      <c r="C29" s="5">
        <f>'④演算-指标计算'!B39</f>
        <v/>
      </c>
      <c r="D29" s="5">
        <f>'④演算-指标计算'!F39</f>
        <v/>
      </c>
      <c r="E29" s="5">
        <f>'④演算-指标计算'!H39</f>
        <v/>
      </c>
    </row>
  </sheetData>
  <mergeCells count="2">
    <mergeCell ref="A2:N2"/>
    <mergeCell ref="A1:N1"/>
  </mergeCells>
  <conditionalFormatting sqref="E21:E29">
    <cfRule type="cellIs" priority="1" operator="equal" dxfId="0">
      <formula>"异常"</formula>
    </cfRule>
    <cfRule type="cellIs" priority="2" operator="equal" dxfId="2">
      <formula>"优秀"</formula>
    </cfRule>
    <cfRule type="cellIs" priority="3" operator="equal" dxfId="1">
      <formula>"达标"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2026-10-20T13:24:42Z</dcterms:created>
  <dcterms:modified xmlns:dcterms="http://purl.org/dc/terms/" xmlns:xsi="http://www.w3.org/2001/XMLSchema-instance" xsi:type="dcterms:W3CDTF">2026-10-20T13:24:42Z</dcterms:modified>
</cp:coreProperties>
</file>